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Pablo Ponti\Conciliador\Conciliador_v10\Ejemplos\"/>
    </mc:Choice>
  </mc:AlternateContent>
  <xr:revisionPtr revIDLastSave="0" documentId="13_ncr:1_{89BE97CB-DDFC-4F4B-AC95-74D89D754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1. Auditoría Banco" sheetId="2" r:id="rId2"/>
    <sheet name="2. Auditoría Sistema" sheetId="3" r:id="rId3"/>
    <sheet name="3. Detalle Impuestos" sheetId="4" r:id="rId4"/>
    <sheet name="4. Conciliación" sheetId="5" r:id="rId5"/>
    <sheet name="5. Conceptos Agrup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4" i="2" l="1"/>
  <c r="E449" i="5"/>
  <c r="D449" i="5"/>
  <c r="F417" i="5"/>
  <c r="E416" i="5"/>
  <c r="E417" i="5" s="1"/>
  <c r="D416" i="5"/>
  <c r="D417" i="5" s="1"/>
  <c r="D253" i="4"/>
  <c r="D229" i="4"/>
  <c r="D205" i="4"/>
  <c r="D193" i="4"/>
  <c r="D168" i="4"/>
  <c r="D141" i="4"/>
  <c r="D127" i="4"/>
  <c r="D64" i="4"/>
</calcChain>
</file>

<file path=xl/sharedStrings.xml><?xml version="1.0" encoding="utf-8"?>
<sst xmlns="http://schemas.openxmlformats.org/spreadsheetml/2006/main" count="5106" uniqueCount="1684">
  <si>
    <t>RESUMEN CONCILIACIÓN - Mar2026</t>
  </si>
  <si>
    <t>INSTRUMENTAL PASTEUR SRL Desde: 28/02/26</t>
  </si>
  <si>
    <t>Saldo Anterior s/ Banco</t>
  </si>
  <si>
    <t>Estado de la descarga del Extracto.</t>
  </si>
  <si>
    <t>(+) Total Debe Mayor Sistema</t>
  </si>
  <si>
    <t>Saldo inicio</t>
  </si>
  <si>
    <t>(-) Total Haber Mayor Sistema</t>
  </si>
  <si>
    <t>Créditos</t>
  </si>
  <si>
    <t>(=) Saldo Final Calculado</t>
  </si>
  <si>
    <t>Débitos</t>
  </si>
  <si>
    <t>Crédito Banco no conciliado</t>
  </si>
  <si>
    <t>Saldo final</t>
  </si>
  <si>
    <t>Débito Banco no conciliado</t>
  </si>
  <si>
    <t>Control</t>
  </si>
  <si>
    <t>* Debe ser Cero.</t>
  </si>
  <si>
    <t>Debe Sistema no conciliado</t>
  </si>
  <si>
    <t>Haber Sistema no conciliado</t>
  </si>
  <si>
    <t>Impuestos y Comisiones</t>
  </si>
  <si>
    <t>Saldo Final s/ Banco (Extracto)</t>
  </si>
  <si>
    <t>⚠ DIFERENCIA EN SALDO FINAL</t>
  </si>
  <si>
    <t>CONCILIACIÓN</t>
  </si>
  <si>
    <t>Movimientos conciliados</t>
  </si>
  <si>
    <t>Con diferencia de monto</t>
  </si>
  <si>
    <t>Solo en banco (pendientes)</t>
  </si>
  <si>
    <t>Solo en sistema (pendientes)</t>
  </si>
  <si>
    <t>GASTOS BANCARIOS E IMPUESTOS</t>
  </si>
  <si>
    <t>RET_SIRCREB</t>
  </si>
  <si>
    <t>20 movimientos</t>
  </si>
  <si>
    <t>RET_IIBB_TUCUMAN</t>
  </si>
  <si>
    <t>LEY25413_DEBITO</t>
  </si>
  <si>
    <t>21 movimientos</t>
  </si>
  <si>
    <t>LEY25413_CREDITO</t>
  </si>
  <si>
    <t>23 movimientos</t>
  </si>
  <si>
    <t>COMISION</t>
  </si>
  <si>
    <t>59 movimientos</t>
  </si>
  <si>
    <t>PERC_IIBB</t>
  </si>
  <si>
    <t>8 movimientos</t>
  </si>
  <si>
    <t>IVA</t>
  </si>
  <si>
    <t>69 movimientos</t>
  </si>
  <si>
    <t>TOTAL GASTOS</t>
  </si>
  <si>
    <t>AUDITORÍA: MOVIMIENTOS DETECTADOS EN BANCO - Mar2026</t>
  </si>
  <si>
    <t>Saldo Anterior detectado: $ 5,622,491.49</t>
  </si>
  <si>
    <t>Fecha</t>
  </si>
  <si>
    <t>Concepto Original</t>
  </si>
  <si>
    <t>Débito</t>
  </si>
  <si>
    <t>Crédito</t>
  </si>
  <si>
    <t>Descripción/Ref</t>
  </si>
  <si>
    <t>Clasificación Motor</t>
  </si>
  <si>
    <t>Regimen de recaudacion sircreb r Resp:30626629942 / 1,60% sobre $2.968.478,47</t>
  </si>
  <si>
    <t>Adelanto iibb tuc letra h Resp:30626629942 / 0,12% sobre $2.725.127,14</t>
  </si>
  <si>
    <t>4899 Pago comercios getnet nro.liq. 00004899/000000000008581</t>
  </si>
  <si>
    <t>OTRO</t>
  </si>
  <si>
    <t>167501 Debito automatico Prosegur a -0320000000030626629942</t>
  </si>
  <si>
    <t>DEB_AUTOMATICO</t>
  </si>
  <si>
    <t>5515 Pago comercios getnet nro.liq. 00005515/000000000008581</t>
  </si>
  <si>
    <t>779407 Transferencia recibida De instrument pasteur / mov interno - var / 30626629942</t>
  </si>
  <si>
    <t>1824118 Pago a proveedores recibido Quantum srl 30708046465 03 1824118</t>
  </si>
  <si>
    <t>624387 Transferencia recibida De m c fragancias sa / 9086 - fac / 30708403020</t>
  </si>
  <si>
    <t>168230 Transferencia recibida De medizin s.a.s / - var / 30716914816</t>
  </si>
  <si>
    <t>43850938 Transf recibida cvu mismo titular De instrumental pasteur s r / mercado pago /30626629942</t>
  </si>
  <si>
    <t>12892150 Transf recibida cvu mismo titular De instrumental pasteur s r / mercado pago /30626629942</t>
  </si>
  <si>
    <t>91722284 Suscripcion fondos comunes invers</t>
  </si>
  <si>
    <t>13517922 Pago tarjeta de credito visa Deb. automatico 02/03/2026 part 01313517922</t>
  </si>
  <si>
    <t>PAGO_TARJETA</t>
  </si>
  <si>
    <t>Deposito echeq canje interno 24hs</t>
  </si>
  <si>
    <t>Impuesto ley 25.413 debito 0,6%</t>
  </si>
  <si>
    <t>Impuesto ley 25.413 credito 0,6%</t>
  </si>
  <si>
    <t>Regimen de recaudacion sircreb n Resp:30626629942 / 1,20% sobre $2.763.295,43</t>
  </si>
  <si>
    <t>Adelanto iibb tuc letra h Resp:30626629942 / 0,12% sobre $2.524.960,45</t>
  </si>
  <si>
    <t>Deposito echeq otro banco 48hs</t>
  </si>
  <si>
    <t>Deposito e-cheq 48hs presencia bsr</t>
  </si>
  <si>
    <t>3893 Pago comercios getnet nro.liq. 00003893/000000000008581</t>
  </si>
  <si>
    <t>Comision compensacion cheques cfu</t>
  </si>
  <si>
    <t>Percepcion ingresos brutos caba</t>
  </si>
  <si>
    <t>Iva 21% reg de transfisc ley27743</t>
  </si>
  <si>
    <t>Iva percepcion rg 2408</t>
  </si>
  <si>
    <t>3377951 Pago a proveedores recibido Bioingepro srl 30709715980 03 3377951</t>
  </si>
  <si>
    <t>6841 Pago comercios getnet nro.liq. 00006841/000000000008581</t>
  </si>
  <si>
    <t>3417489 Pago a proveedores recibido Universidad nacional del cent 30586761419 03 3417489</t>
  </si>
  <si>
    <t>16218963 Transferencia recibida De maria martina de batti / - var / 27305645058</t>
  </si>
  <si>
    <t>822464 Transferencia recibida De nicolas errasti martin / - var / 20315308721</t>
  </si>
  <si>
    <t>13473842 Credito transf online banking emp De ricardo bueloni y cia / factura - fac / 30522947632</t>
  </si>
  <si>
    <t>13538515 Credito transf online banking emp De farmacia colon srl / factura - fac / 30532610989</t>
  </si>
  <si>
    <t>26139615 Transf recibida cvu mismo titular De instrumental pasteur s r / mercado pago /30626629942</t>
  </si>
  <si>
    <t>39202651 Pago a proveedores 260303007soc benef hosp italia cuit 30545894528</t>
  </si>
  <si>
    <t>4158450 Transferencia realizada A oca log s.a. / factura - fac / 30717024393</t>
  </si>
  <si>
    <t>4158513 Transferencia realizada A correo andreani sa / factura - fac / 33699685459</t>
  </si>
  <si>
    <t>4158595 Transferencia realizada A empresa de seguridad gl / factura - fac / 30716678322</t>
  </si>
  <si>
    <t>4158636 Transferencia realizada A lipower s. a. / varios - var / 30717439186</t>
  </si>
  <si>
    <t>4158681 Transferencia realizada A massino alejandro damia / factura - fac / 30714468347</t>
  </si>
  <si>
    <t>4158718 Transferencia realizada A vulycher norberto / factura - fac / 20060581119</t>
  </si>
  <si>
    <t>15416864 Debito transf. online banking emp A nancy noemi franco vill / varios - var / 27287732029</t>
  </si>
  <si>
    <t>15432659 Debito transf. online banking emp A vanaty srl / factura - fac / 30708798009</t>
  </si>
  <si>
    <t>15416400 Debito transf. online banking emp A nss sa / factura - fac / 30702652975</t>
  </si>
  <si>
    <t>12519 Comision transf otros bcos canales Comision transferencias</t>
  </si>
  <si>
    <t>12519 Iva 21% reg de transfisc ley27743</t>
  </si>
  <si>
    <t>Regimen de recaudacion sircreb n Resp:30626629942 / 1,20% sobre $17.234.704,31</t>
  </si>
  <si>
    <t>Adelanto iibb tuc letra h Resp:30626629942 / 0,12% sobre $16.275.029,84</t>
  </si>
  <si>
    <t>4883 Pago comercios getnet nro.liq. 00004883/000000000008581</t>
  </si>
  <si>
    <t>5477 Pago comercios getnet nro.liq. 00005477/000000000008581</t>
  </si>
  <si>
    <t>5226842 Transferencia ctas mobile banking De carla maria esquivel a / varios - var / 23246146004</t>
  </si>
  <si>
    <t>82035922 Transferencia recibida De badano/wilmer estanisl / 0047089291 - var / 23470892919</t>
  </si>
  <si>
    <t>91915029 Suscripcion fondos comunes invers</t>
  </si>
  <si>
    <t>Regimen de recaudacion sircreb n Resp:30626629942 / 1,20% sobre $308.196,66</t>
  </si>
  <si>
    <t>Adelanto iibb tuc letra h Resp:30626629942 / 0,12% sobre $65.363,77</t>
  </si>
  <si>
    <t>4394 Pago comercios getnet nro.liq. 00004394/000000000008581</t>
  </si>
  <si>
    <t>34348 Debito automatico Allianz -instrumenta00001055218</t>
  </si>
  <si>
    <t>34349 Debito automatico Allianz -instrumenta00001055218</t>
  </si>
  <si>
    <t>34350 Debito automatico Allianz -instrumenta00001055218</t>
  </si>
  <si>
    <t>120836 Snp debito directo Zurich int life -2000156664</t>
  </si>
  <si>
    <t>199003 Debito automatico Arca (ex afip) -27135305222</t>
  </si>
  <si>
    <t>5429 Pago comercios getnet nro.liq. 00005429/000000000008581</t>
  </si>
  <si>
    <t>809290 Transferencia recibida De transquimica marina / pr 13220 - fac / 30641818972</t>
  </si>
  <si>
    <t>54399381 Transferencia recibida De sandra edith zulian / - var / 27232703240</t>
  </si>
  <si>
    <t>17289654 Transf recibida cvu mismo titular De instrumental pasteur s r / mercado pago /30626629942</t>
  </si>
  <si>
    <t>14067980 Debito transf. online banking emp A gerardo damian ferrero / factura - fac / 20225888737</t>
  </si>
  <si>
    <t>4079482 Transferencia realizada A centro medico integr / factura - fac / 33556018079</t>
  </si>
  <si>
    <t>14051742 Debito transf. online banking emp A vanaty srl / factura - fac / 30708798009</t>
  </si>
  <si>
    <t>4079483 Transferencia realizada A security hnos srl / factura - fac / 30715337017</t>
  </si>
  <si>
    <t>4079484 Transferencia realizada A ambrogi pablo jose / factura - fac / 20298009596</t>
  </si>
  <si>
    <t>14070387 Debito transf. online banking emp A christian horacio seran / factura - fac / 20277137373</t>
  </si>
  <si>
    <t>14043786 Debito transf. online banking emp A eduardo pernice / factura - fac / 20149882538</t>
  </si>
  <si>
    <t>4079485 Transferencia realizada A correo andreani sa / factura - fac / 33699685459</t>
  </si>
  <si>
    <t>4079486 Transferencia realizada A msm tech / factura - fac / 30717011666</t>
  </si>
  <si>
    <t>4079487 Transferencia realizada A massino alejandro damia / factura - fac / 30714468347</t>
  </si>
  <si>
    <t>4079488 Transferencia realizada A lipower s. a. / factura - fac / 30717439186</t>
  </si>
  <si>
    <t>5458761 Pago a proveedores recibido Sgs argentina sa 30547110427 03 5458761</t>
  </si>
  <si>
    <t>16198880 Credito transf online banking emp De chemit argentina srl / varios - var / 30707509356</t>
  </si>
  <si>
    <t>772462 Transferencia recibida De borrell, jimena ayl n / varios - var / 27458873521</t>
  </si>
  <si>
    <t>16266383 Rescate fondos comunes inversion</t>
  </si>
  <si>
    <t>32036889 Pago de honorarios 2603055072</t>
  </si>
  <si>
    <t>HABERES</t>
  </si>
  <si>
    <t>15949 Comision transf otros bcos canales Comision transferencias</t>
  </si>
  <si>
    <t>15949 Iva 21% reg de transfisc ley27743</t>
  </si>
  <si>
    <t>15950 Comision transf otros bcos canales Comision transferencias</t>
  </si>
  <si>
    <t>15950 Iva 21% reg de transfisc ley27743</t>
  </si>
  <si>
    <t>15951 Comision transf otros bcos canales Comision transferencias</t>
  </si>
  <si>
    <t>15951 Iva 21% reg de transfisc ley27743</t>
  </si>
  <si>
    <t>15952 Comision transf otros bcos canales Comision transferencias</t>
  </si>
  <si>
    <t>15952 Iva 21% reg de transfisc ley27743</t>
  </si>
  <si>
    <t>15953 Comision transf otros bcos canales Comision transferencias</t>
  </si>
  <si>
    <t>15953 Iva 21% reg de transfisc ley27743</t>
  </si>
  <si>
    <t>15954 Comision transf otros bcos canales Comision transferencias</t>
  </si>
  <si>
    <t>15954 Iva 21% reg de transfisc ley27743</t>
  </si>
  <si>
    <t>15955 Comision transf otros bcos canales Comision transferencias</t>
  </si>
  <si>
    <t>15955 Iva 21% reg de transfisc ley27743</t>
  </si>
  <si>
    <t>Regimen de recaudacion sircreb n Resp:30626629942 / 1,20% sobre $5.279.564,04</t>
  </si>
  <si>
    <t>Adelanto iibb tuc letra h Resp:30626629942 / 0,12% sobre $3.057.345,41</t>
  </si>
  <si>
    <t>3805 Pago comercios getnet nro.liq. 00003805/000000000008581</t>
  </si>
  <si>
    <t>215438 Pago a proveedores recibido Los vascos srl 30708935324 03 0215438</t>
  </si>
  <si>
    <t>95634145 Transf recibida cvu dif titular De norma noemi miceli / uala /27164133228</t>
  </si>
  <si>
    <t>5536 Pago comercios getnet nro.liq. 00005536/000000000008581</t>
  </si>
  <si>
    <t>571113 Transferencia recibida De cignoli, agustina / varios - var / 27448584653</t>
  </si>
  <si>
    <t>91600279 Transf recibida cvu dif titular De sofia bello / prex /27461493667</t>
  </si>
  <si>
    <t>229433 Pago a proveedores recibido Francisco h. walz s.c.a. 30544210803 03 0229433</t>
  </si>
  <si>
    <t>57148 Transferencia recibida De arias,analia natali / transf - var / 27323476905</t>
  </si>
  <si>
    <t>67869746 Transferencia recibida De violeta cardozo / - var / 27462112535</t>
  </si>
  <si>
    <t>3431718 Pago a proveedores recibido Puna bio s a 33716924969 03 3431718</t>
  </si>
  <si>
    <t>92119829 Suscripcion fondos comunes invers</t>
  </si>
  <si>
    <t>80154125 Transferencia recibida De azul/a bulacio / - var / 27445948727</t>
  </si>
  <si>
    <t>17016107 Credito transf online banking emp De ingredients solutions / varios - var / 30708432071</t>
  </si>
  <si>
    <t>83710867 Transferencia recibida De pacheco/geronimo / - var / 20250601167</t>
  </si>
  <si>
    <t>54594809 Transferencia recibida De sofia carolina arzuza / - var / 27961822357</t>
  </si>
  <si>
    <t>17775 Transf minorista recibida snp Microsules arge 30519887335 fac</t>
  </si>
  <si>
    <t>Adelanto iibb tuc letra h Resp:30626629942 / 0,12% sobre $6.798.422,97</t>
  </si>
  <si>
    <t>Regimen de recaudacion sircreb n Resp:30626629942 / 1,20% sobre $6.987.265,87</t>
  </si>
  <si>
    <t>713811 Transferencia recibida De ledesma ana suyay / 7626 - var / 27467497389</t>
  </si>
  <si>
    <t>10409545 Transferencia ctas mobile banking De claudia de luca / varios - var / 23252269584</t>
  </si>
  <si>
    <t>4193 Pago comercios getnet nro.liq. 00004193/000000000008581</t>
  </si>
  <si>
    <t>6140 Pago comercios getnet nro.liq. 00006140/000000000008581</t>
  </si>
  <si>
    <t>1819671 Pago a proveedores recibido Cnc donelab srl 30715368850 03 1819671</t>
  </si>
  <si>
    <t>80201479 Pago de servicios Imp.afip: 3062662994213530522</t>
  </si>
  <si>
    <t>90360018 Pago de servicios Visa: 4937620000162607</t>
  </si>
  <si>
    <t>305279 Transferencia recibida De martinez,ana clara / transf - var / 23455252024</t>
  </si>
  <si>
    <t>4033552 Transferencia realizada A exponenciar sa / factura - fac / 33715346309</t>
  </si>
  <si>
    <t>3056140 Pago a proveedores recibido Energia renovable sa 33711594499 03 3056140</t>
  </si>
  <si>
    <t>16006899 Credito transf online banking emp De apolo biotech sas / - fac / 30717631133</t>
  </si>
  <si>
    <t>43772865 Transf recibida cvu dif titular De alison joaquina mendoza n/ uala /27944736919</t>
  </si>
  <si>
    <t>1919527 Transferencia ctas mobile banking De roxana natalia polack / varios - var / 27296849052</t>
  </si>
  <si>
    <t>16320032 Rescate fondos comunes inversion</t>
  </si>
  <si>
    <t>20262 Comision transf otros bcos canales Comision transferencias</t>
  </si>
  <si>
    <t>20262 Iva 21% reg de transfisc ley27743</t>
  </si>
  <si>
    <t>Regimen de recaudacion sircreb n Resp:30626629942 / 1,20% sobre $4.516.551,58</t>
  </si>
  <si>
    <t>Adelanto iibb tuc letra h Resp:30626629942 / 0,12% sobre $3.411.073,34</t>
  </si>
  <si>
    <t>Cfu depecheq val cobro sin presenc</t>
  </si>
  <si>
    <t>3770 Pago comercios getnet nro.liq. 00003770/000000000008581</t>
  </si>
  <si>
    <t>333973 Debito automatico Direccion gral d-022211035646</t>
  </si>
  <si>
    <t>8466695 Credito transf online banking emp De chemit argentina srl / varios - var / 30707509356</t>
  </si>
  <si>
    <t>7097 Pago comercios getnet nro.liq. 00007097/000000000008581</t>
  </si>
  <si>
    <t>859991 Transferencia recibida De univ.nac.de s.luis / op 915 - var / 30577357532</t>
  </si>
  <si>
    <t>4070031 Pago cci 24hs no gravada interbank A instrumental pasteur / varios - var / 30626629942</t>
  </si>
  <si>
    <t>11160066 Credito transf online banking emp De ricardo bueloni y cia / factura - fac / 30522947632</t>
  </si>
  <si>
    <t>72750919 Transferencia por sistema mep 30680790805 1980001730000001185901 gc2</t>
  </si>
  <si>
    <t>46388885 Transf recibida cvu mismo titular De instrumental pasteur s r / mercado pago /30626629942</t>
  </si>
  <si>
    <t>27523439 Transf recibida cvu mismo titular De instrumental pasteur s r / mercado pago /30626629942</t>
  </si>
  <si>
    <t>92269608 Suscripcion fondos comunes invers</t>
  </si>
  <si>
    <t>15830273 Pago de servicios Sec caba: 30626629942</t>
  </si>
  <si>
    <t>24972775 Pago de servicios Inacap cuota: 3062662994200096242</t>
  </si>
  <si>
    <t>53958455 Pago de servicios Faecys: 306266299420000</t>
  </si>
  <si>
    <t>84070871 Pago de servicios Hosp italiano: 952448</t>
  </si>
  <si>
    <t>13109577 Debito transf. online banking emp A park work srl / factura - fac / 30715889907</t>
  </si>
  <si>
    <t>4096820 Transferencia realizada A jose raul,gomez / factura - fac / 20925985512</t>
  </si>
  <si>
    <t>4096822 Transferencia realizada A lumen glass srl / factura - fac / 30708232439</t>
  </si>
  <si>
    <t>4096823 Transferencia realizada A oca log s.a. / factura - fac / 30717024393</t>
  </si>
  <si>
    <t>4096824 Transferencia realizada A allianz argentina compa / factura - fac / 30500037217</t>
  </si>
  <si>
    <t>4096825 Transferencia realizada A allianz argentina compa / factura - fac / 30500037217</t>
  </si>
  <si>
    <t>4096827 Transferencia realizada A allianz argentina compa / factura - fac / 30500037217</t>
  </si>
  <si>
    <t>4096829 Transferencia realizada A allianz argentina compa / factura - fac / 30500037217</t>
  </si>
  <si>
    <t>4096830 Transferencia realizada A start it sas / factura - fac / 33717607789</t>
  </si>
  <si>
    <t>4096831 Transferencia realizada A cruz del sur / factura - fac / 30556565798</t>
  </si>
  <si>
    <t>13156537 Debito transf. online banking emp A softland argentina sa / factura - fac / 30646941136</t>
  </si>
  <si>
    <t>4096832 Transferencia realizada A atilio etchelar sa / factura - fac / 30688401921</t>
  </si>
  <si>
    <t>4096833 Transferencia realizada A m i v manufactura indus / factura - fac / 30503529153</t>
  </si>
  <si>
    <t>13161873 Debito transf. online banking emp A gerardo damian ferrero / factura - fac / 20225888737</t>
  </si>
  <si>
    <t>4096834 Transferencia realizada A la estrella cuenta nuev / varios - var / 30620920874</t>
  </si>
  <si>
    <t>20528480 Pago de servicios Arba web: 00830626629942</t>
  </si>
  <si>
    <t>44953237 Pago de servicios Arba web: 00830626629942</t>
  </si>
  <si>
    <t>248566 Pago a proveedores recibido Marpama s.a. 30699660376 03 0248566</t>
  </si>
  <si>
    <t>81587331 Transf recibida cvu dif titular De pablo martin blasco / personal pay /20332361504</t>
  </si>
  <si>
    <t>49337679 Transferencia recibida De fundacion de investiga / h1 - fac / 30652097525</t>
  </si>
  <si>
    <t>79443719 Transf recibida cvu dif titular De mario kinderknecht / prex /20346311496</t>
  </si>
  <si>
    <t>21863788 Transf recibida cvu dif titular De carlos hernan gauna / lemon /20406421393</t>
  </si>
  <si>
    <t>16336736 Rescate fondos comunes inversion</t>
  </si>
  <si>
    <t>32124325 Pago haberes 2603105072</t>
  </si>
  <si>
    <t>32124335 Pago haberes 2603105072</t>
  </si>
  <si>
    <t>32124334 Pago haberes 2603105072</t>
  </si>
  <si>
    <t>32124338 Pago haberes 2603105072</t>
  </si>
  <si>
    <t>32124336 Pago haberes 2603105072</t>
  </si>
  <si>
    <t>32124337 Pago haberes 2603105072</t>
  </si>
  <si>
    <t>32124324 Pago haberes 2603105072</t>
  </si>
  <si>
    <t>32124346 Pago haberes 2603105072</t>
  </si>
  <si>
    <t>32124327 Pago haberes 2603105072</t>
  </si>
  <si>
    <t>32124345 Pago haberes 2603105072</t>
  </si>
  <si>
    <t>32124330 Pago haberes 2603105072</t>
  </si>
  <si>
    <t>32124342 Pago haberes 2603105072</t>
  </si>
  <si>
    <t>32124332 Pago haberes 2603105072</t>
  </si>
  <si>
    <t>32124331 Pago haberes 2603105072</t>
  </si>
  <si>
    <t>32124341 Pago haberes 2603105072</t>
  </si>
  <si>
    <t>32124328 Pago haberes 2603105072</t>
  </si>
  <si>
    <t>32124344 Pago haberes 2603105072</t>
  </si>
  <si>
    <t>32124329 Pago haberes 2603105072</t>
  </si>
  <si>
    <t>32124343 Pago haberes 2603105072</t>
  </si>
  <si>
    <t>32124333 Pago haberes 2603105072</t>
  </si>
  <si>
    <t>32124339 Pago haberes 2603105072</t>
  </si>
  <si>
    <t>32124340 Pago haberes 2603105072</t>
  </si>
  <si>
    <t>32124326 Pago haberes 2603105072</t>
  </si>
  <si>
    <t>19339 Comision transf otros bcos canales Comision transferencias</t>
  </si>
  <si>
    <t>19339 Iva 21% reg de transfisc ley27743</t>
  </si>
  <si>
    <t>19340 Comision transf otros bcos canales Comision transferencias</t>
  </si>
  <si>
    <t>19340 Iva 21% reg de transfisc ley27743</t>
  </si>
  <si>
    <t>19341 Comision transf otros bcos canales Comision transferencias</t>
  </si>
  <si>
    <t>19341 Iva 21% reg de transfisc ley27743</t>
  </si>
  <si>
    <t>19342 Comision transf otros bcos canales Comision transferencias</t>
  </si>
  <si>
    <t>19342 Iva 21% reg de transfisc ley27743</t>
  </si>
  <si>
    <t>19343 Comision transf otros bcos canales Comision transferencias</t>
  </si>
  <si>
    <t>19343 Iva 21% reg de transfisc ley27743</t>
  </si>
  <si>
    <t>19344 Comision transf otros bcos canales Comision transferencias</t>
  </si>
  <si>
    <t>19344 Iva 21% reg de transfisc ley27743</t>
  </si>
  <si>
    <t>19345 Comision transf otros bcos canales Comision transferencias</t>
  </si>
  <si>
    <t>19345 Iva 21% reg de transfisc ley27743</t>
  </si>
  <si>
    <t>19346 Comision transf otros bcos canales Comision transferencias</t>
  </si>
  <si>
    <t>19346 Iva 21% reg de transfisc ley27743</t>
  </si>
  <si>
    <t>19347 Comision transf otros bcos canales Comision transferencias</t>
  </si>
  <si>
    <t>19347 Iva 21% reg de transfisc ley27743</t>
  </si>
  <si>
    <t>19348 Comision transf otros bcos canales Comision transferencias</t>
  </si>
  <si>
    <t>19348 Iva 21% reg de transfisc ley27743</t>
  </si>
  <si>
    <t>19349 Comision transf otros bcos canales Comision transferencias</t>
  </si>
  <si>
    <t>19349 Iva 21% reg de transfisc ley27743</t>
  </si>
  <si>
    <t>19350 Comision transf otros bcos canales Comision transferencias</t>
  </si>
  <si>
    <t>19350 Iva 21% reg de transfisc ley27743</t>
  </si>
  <si>
    <t>Regimen de recaudacion sircreb n Resp:30626629942 / 1,20% sobre $104.649.044,88</t>
  </si>
  <si>
    <t>Adelanto iibb tuc letra h Resp:30626629942 / 0,12% sobre $102.382.522,92</t>
  </si>
  <si>
    <t>4551 Pago comercios getnet nro.liq. 00004551/000000000008581</t>
  </si>
  <si>
    <t>101387 Debito automatico Suartec sa -0108538</t>
  </si>
  <si>
    <t>5663 Pago comercios getnet nro.liq. 00005663/000000000008581</t>
  </si>
  <si>
    <t>3223148 Pago a proveedores recibido Redilab sa 30715717723 03 3223148</t>
  </si>
  <si>
    <t>73958163 Transferencia recibida De n/a zapata portillo / - var / 27447601716</t>
  </si>
  <si>
    <t>211824 Pago a proveedores recibido Noveco srl 30717310000 03 0211824</t>
  </si>
  <si>
    <t>105270 Pago a proveedores recibido International argenetics lab 30717445917 03 0105270</t>
  </si>
  <si>
    <t>14271300 Credito transf online banking emp De getnet argentina sau / - var / 30716821516</t>
  </si>
  <si>
    <t>550718 Transferencia recibida De monzon, sofia lihuen / compra web - var / 27459947979</t>
  </si>
  <si>
    <t>6284049 Pago a proveedores recibido Universidad bs as f. de agron 30546666561 03 6284049</t>
  </si>
  <si>
    <t>3290479 Pago a proveedores recibido Surplast sa 33634683319 03 3290479</t>
  </si>
  <si>
    <t>71196757 Transferencia recibida De fundacion sol puntan o / h36871 - var / 30711394105</t>
  </si>
  <si>
    <t>92372592 Suscripcion fondos comunes invers</t>
  </si>
  <si>
    <t>Regimen de recaudacion sircreb n Resp:30626629942 / 1,20% sobre $4.760.077,49</t>
  </si>
  <si>
    <t>Adelanto iibb tuc letra h Resp:30626629942 / 0,12% sobre $4.319.912,70</t>
  </si>
  <si>
    <t>4529 Pago comercios getnet nro.liq. 00004529/000000000008581</t>
  </si>
  <si>
    <t>5627 Pago comercios getnet nro.liq. 00005627/000000000008581</t>
  </si>
  <si>
    <t>920433 Transferencia recibida De univ.nac.de s.luis / op 954 - var / 30577357532</t>
  </si>
  <si>
    <t>5952323 Transf recibida cvu mismo titular De instrumental pasteur s r / mercado pago /30626629942</t>
  </si>
  <si>
    <t>94114 Transferencia recibida De vera,mar a agustina / transf - var / 27373292090</t>
  </si>
  <si>
    <t>4223351 Transferencia realizada A lipower s. a. / varios - var / 30717439186</t>
  </si>
  <si>
    <t>4223352 Transferencia realizada A prunus srl / factura - fac / 30708454970</t>
  </si>
  <si>
    <t>10418989 Debito transf. online banking emp A vanaty srl / factura - fac / 30708798009</t>
  </si>
  <si>
    <t>10420316 Debito transf. online banking emp A sabrina garcia / factura - fac / 27313754966</t>
  </si>
  <si>
    <t>4223353 Transferencia realizada A msm tech / factura - fac / 30717011666</t>
  </si>
  <si>
    <t>4223354 Transferencia realizada A correo andreani sa / factura - fac / 33699685459</t>
  </si>
  <si>
    <t>4223355 Transferencia realizada A andreani logistica sa / factura - fac / 30698011145</t>
  </si>
  <si>
    <t>4223356 Transferencia realizada A gaimberan lucia emilia / factura - fac / 27319701813</t>
  </si>
  <si>
    <t>127607 Transferencia recibida De municipalidad de salto / var trans - var / 30999033764</t>
  </si>
  <si>
    <t>22932049 Transferencia recibida De romero/andrea miche / 0045503562 - var / 27455035622</t>
  </si>
  <si>
    <t>3339062 Pago a proveedores recibido Fundacion instituto universit 30702166779 03 3339062</t>
  </si>
  <si>
    <t>78148399 Transferencia recibida De campora/marcela victor / inst pasteur - var / 27270710285</t>
  </si>
  <si>
    <t>6415261 Pago a proveedores recibido Fundacion pablo cassara 33626615959 03 6415261</t>
  </si>
  <si>
    <t>13570038 Credito transf online banking emp De asoc civ la educacion / factura - fac / 30528818400</t>
  </si>
  <si>
    <t>14513365 Credito transf online banking emp De lilis s.a. / factura - fac / 30624317277</t>
  </si>
  <si>
    <t>6513639 Pago a proveedores recibido Universidad juan agustin maza 30595517199 03 6513639</t>
  </si>
  <si>
    <t>92436678 Suscripcion fondos comunes invers</t>
  </si>
  <si>
    <t>3405959 Pago a proveedores recibido Laboratorios biofarma sa 30690280988 03 3405959</t>
  </si>
  <si>
    <t>17082 Comision transf otros bcos canales Comision transferencias</t>
  </si>
  <si>
    <t>17082 Iva 21% reg de transfisc ley27743</t>
  </si>
  <si>
    <t>17083 Comision transf otros bcos canales Comision transferencias</t>
  </si>
  <si>
    <t>17083 Iva 21% reg de transfisc ley27743</t>
  </si>
  <si>
    <t>17084 Comision transf otros bcos canales Comision transferencias</t>
  </si>
  <si>
    <t>17084 Iva 21% reg de transfisc ley27743</t>
  </si>
  <si>
    <t>17085 Comision transf otros bcos canales Comision transferencias</t>
  </si>
  <si>
    <t>17085 Iva 21% reg de transfisc ley27743</t>
  </si>
  <si>
    <t>17086 Comision transf otros bcos canales Comision transferencias</t>
  </si>
  <si>
    <t>17086 Iva 21% reg de transfisc ley27743</t>
  </si>
  <si>
    <t>17087 Comision transf otros bcos canales Comision transferencias</t>
  </si>
  <si>
    <t>17087 Iva 21% reg de transfisc ley27743</t>
  </si>
  <si>
    <t>Regimen de recaudacion sircreb n Resp:30626629942 / 1,20% sobre $22.301.013,72</t>
  </si>
  <si>
    <t>Adelanto iibb tuc letra h Resp:30626629942 / 0,12% sobre $18.908.580,54</t>
  </si>
  <si>
    <t>3483 Pago comercios getnet nro.liq. 00003483/000000000008581</t>
  </si>
  <si>
    <t>39721963 Pago a proveedores 260312078smurfit kappa de arge cuit 30663418579</t>
  </si>
  <si>
    <t>5554 Pago comercios getnet nro.liq. 00005554/000000000008581</t>
  </si>
  <si>
    <t>1104615 Pago a proveedores recibido Universidad nacional de cuyo 30546669463 03 1104615</t>
  </si>
  <si>
    <t>1106339 Pago a proveedores recibido Universidad nacional de cuyo 30546669463 03 1106339</t>
  </si>
  <si>
    <t>227623 Pago a proveedores recibido Asoc. coop. facultad de cienc 30629539731 03 0227623</t>
  </si>
  <si>
    <t>764664 Transferencia recibida De moreyra, fernando andr / varios - var / 20248243725</t>
  </si>
  <si>
    <t>3492116 Pago a proveedores recibido Universidad de buenos aires 30546666561 03 3492116</t>
  </si>
  <si>
    <t>92495112 Suscripcion fondos comunes invers</t>
  </si>
  <si>
    <t>139864 Transferencia recibida De medizin s.a.s / - fac / 30716914816</t>
  </si>
  <si>
    <t>6696388 Pago a proveedores recibido Fund favaloro p l doc e inv m 33559768869 03 6696388</t>
  </si>
  <si>
    <t>397985 Transferencia recibida De segovia, samira agusti / varios - var / 27459844487</t>
  </si>
  <si>
    <t>1155638 Transf recibida cvu mismo titular De instrumental pasteur s r / mercado pago /30626629942</t>
  </si>
  <si>
    <t>4049309 Transferencia realizada A / factura - fac / 30717458687</t>
  </si>
  <si>
    <t>Impuesto ley 25.413 credito 0,6% Cta orig: 195-032021/8 - base impo. usd 1.730,83</t>
  </si>
  <si>
    <t>18794 Comision transf otros bcos canales Comision transferencias</t>
  </si>
  <si>
    <t>18794 Iva 21% reg de transfisc ley27743</t>
  </si>
  <si>
    <t>Regimen de recaudacion sircreb n Resp:30626629942 / 1,20% sobre $4.002.976,13</t>
  </si>
  <si>
    <t>Adelanto iibb tuc letra h Resp:30626629942 / 0,12% sobre $3.841.444,80</t>
  </si>
  <si>
    <t>3998 Pago comercios getnet nro.liq. 00003998/000000000008581</t>
  </si>
  <si>
    <t>7304 Debito automatico Allianz -instrumenta00001055218</t>
  </si>
  <si>
    <t>7305 Debito automatico Allianz -instrumenta00001055218</t>
  </si>
  <si>
    <t>7306 Debito automatico Allianz -instrumenta00001055218</t>
  </si>
  <si>
    <t>7307 Debito automatico Allianz -instrumenta00001055218</t>
  </si>
  <si>
    <t>143018 Snp debito directo Aysa sa -0000028214</t>
  </si>
  <si>
    <t>6172 Pago comercios getnet nro.liq. 00006172/000000000008581</t>
  </si>
  <si>
    <t>67401153 Transferencia recibida De criado/maria victoria / 0026057612 - var / 27260576122</t>
  </si>
  <si>
    <t>254675 Transferencia recibida De medizin s.a.s / - fac / 30716914816</t>
  </si>
  <si>
    <t>242972 Pago a proveedores recibido Jose fortunato levy 20103771367 03 0242972</t>
  </si>
  <si>
    <t>76275112 Transferencia recibida De zoe berenice vinay gua / - var / 27468581030</t>
  </si>
  <si>
    <t>Impuesto ley 25.413 credito 0,6% Cta orig: 195-032021/8 - base impo. usd 1.021,73</t>
  </si>
  <si>
    <t>Impuesto ley 25.413 debito 0,6% Cta orig: 195-032021/8 - base impo. usd3,31</t>
  </si>
  <si>
    <t>Regimen de recaudacion sircreb n Resp:30626629942 / 1,20% sobre $3.221.595,88</t>
  </si>
  <si>
    <t>Adelanto iibb tuc letra h Resp:30626629942 / 0,12% sobre $2.295.841,16</t>
  </si>
  <si>
    <t>2907 Pago comercios getnet nro.liq. 00002907/000000000008581</t>
  </si>
  <si>
    <t>7075 Pago comercios getnet nro.liq. 00007075/000000000008581</t>
  </si>
  <si>
    <t>290714 Transferencia recibida De instrumental pasteur s / var mov inte - var / 30626629942</t>
  </si>
  <si>
    <t>74630497 Transferencia recibida De rumi/maria valeria / 0022200665 - fac / 27222006657</t>
  </si>
  <si>
    <t>327470 Transferencia recibida De brayotta maria fernand / ref - var / 27383187228</t>
  </si>
  <si>
    <t>279359 Transferencia recibida De quiroga lohaiza,claudi / transf - var / 23306132849</t>
  </si>
  <si>
    <t>1120 Transferencia recibida De montiel,ruben dario / rmontiel - var / 20324244329</t>
  </si>
  <si>
    <t>4188231 Transferencia realizada A acunaluis alberto / factura - fac / 20920057552</t>
  </si>
  <si>
    <t>4188232 Transferencia realizada A licenciasonline s.a. / factura - fac / 30710362218</t>
  </si>
  <si>
    <t>4188233 Transferencia realizada A espinosa diego laurean / factura - fac / 23235676389</t>
  </si>
  <si>
    <t>4188234 Transferencia realizada A fisdel lionel y fisdel / factura - fac / 30698029648</t>
  </si>
  <si>
    <t>4188235 Transferencia realizada A argontech srl / factura - fac / 30684968218</t>
  </si>
  <si>
    <t>13328548 Debito transf. online banking emp A nancy noemi franco vill / varios - var / 27287732029</t>
  </si>
  <si>
    <t>906557 Transferencia recibida De inst salesiana inst pi / varios - var / 30610211638</t>
  </si>
  <si>
    <t>17313 Comision transf otros bcos canales Comision transferencias</t>
  </si>
  <si>
    <t>17313 Iva 21% reg de transfisc ley27743</t>
  </si>
  <si>
    <t>17314 Comision transf otros bcos canales Comision transferencias</t>
  </si>
  <si>
    <t>17314 Iva 21% reg de transfisc ley27743</t>
  </si>
  <si>
    <t>17315 Comision transf otros bcos canales Comision transferencias</t>
  </si>
  <si>
    <t>17315 Iva 21% reg de transfisc ley27743</t>
  </si>
  <si>
    <t>17316 Comision transf otros bcos canales Comision transferencias</t>
  </si>
  <si>
    <t>17316 Iva 21% reg de transfisc ley27743</t>
  </si>
  <si>
    <t>17317 Comision transf otros bcos canales Comision transferencias</t>
  </si>
  <si>
    <t>17317 Iva 21% reg de transfisc ley27743</t>
  </si>
  <si>
    <t>Regimen de recaudacion sircreb n Resp:30626629942 / 1,20% sobre $1.488.889,13</t>
  </si>
  <si>
    <t>Adelanto iibb tuc letra h Resp:30626629942 / 0,12% sobre $1.450.735,15</t>
  </si>
  <si>
    <t>3606 Pago comercios getnet nro.liq. 00003606/000000000008581</t>
  </si>
  <si>
    <t>36104 Debito automatico Finnegans sa -000030626629942</t>
  </si>
  <si>
    <t>5095 Pago comercios getnet nro.liq. 00005095/000000000008581</t>
  </si>
  <si>
    <t>84793453 Transferencia recibida De bellandi/graciela c / pasteur - fac / 27126307050</t>
  </si>
  <si>
    <t>1104668 Pago a proveedores recibido Universidad gral. san martin 30662473916 03 1104668</t>
  </si>
  <si>
    <t>14335958 Credito transf online banking emp De chemit argentina srl / varios - var / 30707509356</t>
  </si>
  <si>
    <t>92729874 Suscripcion fondos comunes invers</t>
  </si>
  <si>
    <t>339563 Transferencia recibida De lab s jose diag y trat / - hon / 30693212347</t>
  </si>
  <si>
    <t>4267528 Transferencia realizada A sociedad argentina / factura - fac / 30654231326</t>
  </si>
  <si>
    <t>14166 Pago a proveedores recibido Alimentos magro 30707731601 t10 00001044912</t>
  </si>
  <si>
    <t>16149 Comision transf otros bcos canales Comision transferencias</t>
  </si>
  <si>
    <t>16149 Iva 21% reg de transfisc ley27743</t>
  </si>
  <si>
    <t>Adelanto iibb tuc letra h Resp:30626629942 / 0,12% sobre $8.186.364,49</t>
  </si>
  <si>
    <t>Regimen de recaudacion sircreb n Resp:30626629942 / 1,20% sobre $8.885.234,67</t>
  </si>
  <si>
    <t>1652 Valor al cobro comp elect prop loc</t>
  </si>
  <si>
    <t>5380 Pago comercios getnet nro.liq. 00005380/000000000008581</t>
  </si>
  <si>
    <t>4003017 Transferencia realizada A lipower s. a. / varios - var / 30717439186</t>
  </si>
  <si>
    <t>4003018 Transferencia realizada A andreani logistica sa / factura - fac / 30698011145</t>
  </si>
  <si>
    <t>4003019 Transferencia realizada A pablodsky felipe bernar / factura - fac / 20044465885</t>
  </si>
  <si>
    <t>4003021 Transferencia realizada A estudio fernadez lacort / factura - fac / 30717325563</t>
  </si>
  <si>
    <t>51873699 Pago de servicios Imp.afip: 3062662994213530522 - tarj nro. 6869</t>
  </si>
  <si>
    <t>213874 Pago a proveedores recibido Fundacion del inst biologia m 30710494459 03 0213874</t>
  </si>
  <si>
    <t>8399701 Transferencia ctas mobile banking De diana carolina blostei / varios - var / 27262157224</t>
  </si>
  <si>
    <t>96060718 Transf recibida cvu dif titular De lacfarm srl / mercado pago /30709327247</t>
  </si>
  <si>
    <t>294545 Pago a proveedores recibido Levy 20103771367 03 0294545</t>
  </si>
  <si>
    <t>3405108 Transferencia pagos a terceros Universidad nacional de quilm 30642137251 63 3405108</t>
  </si>
  <si>
    <t>92802291 Suscripcion fondos comunes invers</t>
  </si>
  <si>
    <t>17570 Comision transf otros bcos canales Comision transferencias</t>
  </si>
  <si>
    <t>17570 Iva 21% reg de transfisc ley27743</t>
  </si>
  <si>
    <t>17571 Comision transf otros bcos canales Comision transferencias</t>
  </si>
  <si>
    <t>17571 Iva 21% reg de transfisc ley27743</t>
  </si>
  <si>
    <t>17572 Comision transf otros bcos canales Comision transferencias</t>
  </si>
  <si>
    <t>17572 Iva 21% reg de transfisc ley27743</t>
  </si>
  <si>
    <t>17573 Comision transf otros bcos canales Comision transferencias</t>
  </si>
  <si>
    <t>17573 Iva 21% reg de transfisc ley27743</t>
  </si>
  <si>
    <t>Adelanto iibb tuc letra h Resp:30626629942 / 0,12% sobre $4.795.587,52</t>
  </si>
  <si>
    <t>Regimen de recaudacion sircreb n Resp:30626629942 / 1,20% sobre $4.962.758,75</t>
  </si>
  <si>
    <t>3812 Pago comercios getnet nro.liq. 00003812/000000000008581</t>
  </si>
  <si>
    <t>256 Debito automatico Barbuss risk seg-0000001818005143900001</t>
  </si>
  <si>
    <t>32602 Debito automatico Edesur sa -0003872953</t>
  </si>
  <si>
    <t>3153016 Transferencia recibida De lacfarm srl / - var / 30709327247</t>
  </si>
  <si>
    <t>5455 Pago comercios getnet nro.liq. 00005455/000000000008581</t>
  </si>
  <si>
    <t>3455762 Pago a proveedores recibido Laboratorio mantel sa 30559310308 03 3455762</t>
  </si>
  <si>
    <t>46588356 Transf recibida cvu mismo titular De instrumental pasteur s r / mercado pago /30626629942</t>
  </si>
  <si>
    <t>23050072 Transf recibida cvu dif titular De pamela aymara caraballo / mercado pago /23329468534</t>
  </si>
  <si>
    <t>46770456 Transferencia recibida De druille/magdalena / 0029417568 - var / 27294175682</t>
  </si>
  <si>
    <t>611511 Transferencia recibida De glisoni,romina julieta / transf - var / 27283693592</t>
  </si>
  <si>
    <t>92877699 Suscripcion fondos comunes invers</t>
  </si>
  <si>
    <t>896899 Transferencia recibida De gentile fernando man / - fac / 20121057205</t>
  </si>
  <si>
    <t>9435 Pago a proveedores recibido Fundacion unive 30689902002 pag o a proveed</t>
  </si>
  <si>
    <t>9436 Pago a proveedores recibido Univ nac lit ad 30546670550 t10 00340021947</t>
  </si>
  <si>
    <t>Adelanto iibb tuc letra h Resp:30626629942 / 0,12% sobre $6.615.566,98</t>
  </si>
  <si>
    <t>Regimen de recaudacion sircreb n Resp:30626629942 / 1,20% sobre $6.803.888,62</t>
  </si>
  <si>
    <t>472316 Transferencia recibida De juliver sa / fac fac 6929 - fac / 30593368935</t>
  </si>
  <si>
    <t>52000661 Transferencia recibida De sires/jorge ignacio / 0027855514 - var / 20278555144</t>
  </si>
  <si>
    <t>15305802 Transferencia ctas mobile banking De luis augusto martin / varios - var / 20357220131</t>
  </si>
  <si>
    <t>15959 Pago comercios getnet nro.liq. 00015959/000000000008581</t>
  </si>
  <si>
    <t>76544329 Transf recibida cvu mismo titular De instrumental pasteur s r / mercado pago /30626629942</t>
  </si>
  <si>
    <t>9369062 Credito transf online banking emp De iluminarte srl / factura - fac / 30707986324</t>
  </si>
  <si>
    <t>238232 Transferencia recibida De asoc coope otto krause / - fac / 30649264895</t>
  </si>
  <si>
    <t>556951 Transferencia recibida De instrumental pasteur s / var mov inte - var / 30626629942</t>
  </si>
  <si>
    <t>10189180 Debito transf. online banking emp A christian horacio seran / factura - fac / 20277137373</t>
  </si>
  <si>
    <t>10128975 Debito transf. online banking emp A nss sa / factura - fac / 30702652975</t>
  </si>
  <si>
    <t>4186489 Transferencia realizada A tdc amex pesos / varios - var / 30574816870</t>
  </si>
  <si>
    <t>10190336 Debito transf. online banking emp A alejandra alicia menini / factura - fac / 27178568413</t>
  </si>
  <si>
    <t>4186491 Transferencia realizada A msm tech / factura - fac / 30717011666</t>
  </si>
  <si>
    <t>4186492 Transferencia realizada A correo andreani sa / factura - fac / 33699685459</t>
  </si>
  <si>
    <t>4186493 Transferencia realizada A oca log s.a. / factura - fac / 30717024393</t>
  </si>
  <si>
    <t>4186495 Transferencia realizada A gaimberan lucia emilia / factura - fac / 27319701813</t>
  </si>
  <si>
    <t>4186496 Transferencia realizada A elserver srl / varios - var / 30707447504</t>
  </si>
  <si>
    <t>4186498 Transferencia realizada A osdepym / factura - fac / 30586661716</t>
  </si>
  <si>
    <t>60874440 Pago de servicios Arba web: 00830626629942 - tarj nro. 6869</t>
  </si>
  <si>
    <t>4188549 Transferencia realizada A bco comafi rec m.t. $ / varios - var / 30604731018</t>
  </si>
  <si>
    <t>575359 Transferencia recibida De fundacionros-cytec / 62 pict 2020 - fac / 30708406046</t>
  </si>
  <si>
    <t>92966989 Suscripcion fondos comunes invers</t>
  </si>
  <si>
    <t>48600054 Transferencia recibida De brune/descalzi igor / - var / 20921516925</t>
  </si>
  <si>
    <t>40011032 Transferencia recibida De camila lobaiza / - var / 27441346919</t>
  </si>
  <si>
    <t>7242 Pago a proveedores recibido Fundacion unive 30689902002 pag o a proveed</t>
  </si>
  <si>
    <t>7243 Pago a proveedores recibido Univ nac lit ad 30546670550 t10 00340021947</t>
  </si>
  <si>
    <t>27711 Comision transf otros bcos canales Comision transferencias</t>
  </si>
  <si>
    <t>27711 Iva 21% reg de transfisc ley27743</t>
  </si>
  <si>
    <t>27712 Comision transf otros bcos canales Comision transferencias</t>
  </si>
  <si>
    <t>27712 Iva 21% reg de transfisc ley27743</t>
  </si>
  <si>
    <t>27713 Comision transf otros bcos canales Comision transferencias</t>
  </si>
  <si>
    <t>27713 Iva 21% reg de transfisc ley27743</t>
  </si>
  <si>
    <t>27714 Comision transf otros bcos canales Comision transferencias</t>
  </si>
  <si>
    <t>27714 Iva 21% reg de transfisc ley27743</t>
  </si>
  <si>
    <t>27715 Comision transf otros bcos canales Comision transferencias</t>
  </si>
  <si>
    <t>27715 Iva 21% reg de transfisc ley27743</t>
  </si>
  <si>
    <t>27716 Comision transf otros bcos canales Comision transferencias</t>
  </si>
  <si>
    <t>27716 Iva 21% reg de transfisc ley27743</t>
  </si>
  <si>
    <t>27717 Comision transf otros bcos canales Comision transferencias</t>
  </si>
  <si>
    <t>27717 Iva 21% reg de transfisc ley27743</t>
  </si>
  <si>
    <t>27718 Comision transf otros bcos canales Comision transferencias</t>
  </si>
  <si>
    <t>27718 Iva 21% reg de transfisc ley27743</t>
  </si>
  <si>
    <t>Adelanto iibb tuc letra h Resp:30626629942 / 0,12% sobre $2.665.964,57</t>
  </si>
  <si>
    <t>Regimen de recaudacion sircreb n Resp:30626629942 / 1,20% sobre $2.829.190,83</t>
  </si>
  <si>
    <t>6395 Pago comercios getnet nro.liq. 00006395/000000000008581</t>
  </si>
  <si>
    <t>3159154 Pago a proveedores recibido Gran mandisovi sa 30715635123 03 3159154</t>
  </si>
  <si>
    <t>7378 Pago comercios getnet nro.liq. 00007378/000000000008581</t>
  </si>
  <si>
    <t>1805396 Transferencia pagos a terceros Cuenca s a 30709287792 63 1805396</t>
  </si>
  <si>
    <t>289203 Pago a proveedores recibido Amfortis sa 30697577838 03 0289203</t>
  </si>
  <si>
    <t>93035495 Suscripcion fondos comunes invers</t>
  </si>
  <si>
    <t>573214 Transferencia recibida De nanox release technol / 69287 - fac / 30714324809</t>
  </si>
  <si>
    <t>304752 Pago a proveedores recibido Jose fortunato levy 20103771367 03 0304752</t>
  </si>
  <si>
    <t>61169556 Transf recibida cvu mismo titular De instrumental pasteur s r / mercado pago /30626629942</t>
  </si>
  <si>
    <t>3125321 Suscripcion fondos comunes invers Inversion en fondo super ahorro</t>
  </si>
  <si>
    <t>68404149 Transf recibida cvu dif titular De camilo jeremias rodriguez/ personal pay /20445885763</t>
  </si>
  <si>
    <t>Impuesto ley 25.413 credito 0,6% Cta orig: 195-032021/8 - base impo. usd362,44</t>
  </si>
  <si>
    <t>Adelanto iibb tuc letra h Resp:30626629942 / 0,12% sobre $17.084.325,42</t>
  </si>
  <si>
    <t>Regimen de recaudacion sircreb n Resp:30626629942 / 1,20% sobre $17.912.074,22</t>
  </si>
  <si>
    <t>40151749 Pago a proveedores 260326007sidus sa cuit 30501317019</t>
  </si>
  <si>
    <t>5409 Pago comercios getnet nro.liq. 00005409/000000000008581</t>
  </si>
  <si>
    <t>50421951 Transferencia recibida De tripodi/valeria paula / 0020200391 - var / 27202003910</t>
  </si>
  <si>
    <t>195110 Transferencia recibida De flores, paola lorena / microsc tir - var / 23292996314</t>
  </si>
  <si>
    <t>244110 Pago a proveedores recibido Wiener laboratorios 30522228210 03 0244110</t>
  </si>
  <si>
    <t>3336696 Pago a proveedores recibido Holliday scott sa 30539235180 03 3336696</t>
  </si>
  <si>
    <t>98275505 Transferencia recibida De baier, carlos / - var / 20259905932</t>
  </si>
  <si>
    <t>3172859 Suscripcion fondos comunes invers Inversion en fondo super ahorro</t>
  </si>
  <si>
    <t>57897481 Transferencia recibida De jonas ariel arguello m / - var / 20943137073</t>
  </si>
  <si>
    <t>76855249 Transferencia recibida De aguirre gonzalo ezequi / 0035391831 - var / 20353918312</t>
  </si>
  <si>
    <t>12282 Transf minorista recibida snp Chacra experime 33509195639 var 11700030940</t>
  </si>
  <si>
    <t>Regimen de recaudacion sircreb n Resp:30626629942 / 1,20% sobre $4.057.553,99</t>
  </si>
  <si>
    <t>Adelanto iibb tuc letra h Resp:30626629942 / 0,12% sobre $2.807.118,22</t>
  </si>
  <si>
    <t>31375922 Transferencia recibida De boado/lorena analia / - fac / 24267355890</t>
  </si>
  <si>
    <t>Comision por servicio de cuenta</t>
  </si>
  <si>
    <t>Comision servicio cuenta dolares</t>
  </si>
  <si>
    <t>4811 Pago comercios getnet nro.liq. 00004811/000000000008581</t>
  </si>
  <si>
    <t>204142 Pago a proveedores recibido Francisco h. walz s.c.a. 30544210803 03 0204142</t>
  </si>
  <si>
    <t>5331 Pago comercios getnet nro.liq. 00005331/000000000008581</t>
  </si>
  <si>
    <t>1110035 Pago a proveedores recibido Ubatec s.a.-anpcyt 30644259486 03 1110035</t>
  </si>
  <si>
    <t>733248 Transferencia recibida De silcolor sa / - fac / 30608178917</t>
  </si>
  <si>
    <t>9734379 Transf recibida cvu dif titular De beatriz monica meizoso / mercado pago /27109663250</t>
  </si>
  <si>
    <t>25003155 Transf recibida cvu mismo titular De instrumental pasteur s r / mercado pago /30626629942</t>
  </si>
  <si>
    <t>735655 Transferencia recibida De instrumental pasteur s / var mov inte - var / 30626629942</t>
  </si>
  <si>
    <t>3656350 Transf recibida cvu mismo titular De instrumental pasteur s r / mercado pago /30626629942</t>
  </si>
  <si>
    <t>4141424 Pago cci 24hs no gravada interbank A instrumental pasteur / varios - var / 30626629942</t>
  </si>
  <si>
    <t>4141783 Transferencia realizada A claro esteban,canepa / factura - fac / 20053908056</t>
  </si>
  <si>
    <t>4141784 Transferencia realizada A d angelo jonathan n / factura - fac / 20388868199</t>
  </si>
  <si>
    <t>4160284 Transferencia realizada A agroactiva sa / varios - var / 30707948538</t>
  </si>
  <si>
    <t>15108339 Credito transf online banking emp De lacfarm srl / varios - var / 30709327247</t>
  </si>
  <si>
    <t>244244 Pago a proveedores recibido Instituto de fisiologia y bio 30714547719 03 0244244</t>
  </si>
  <si>
    <t>3229707 Suscripcion fondos comunes invers Inversion en fondo super ahorro</t>
  </si>
  <si>
    <t>21155 Comision transf otros bcos canales Comision transferencias</t>
  </si>
  <si>
    <t>21155 Iva 21% reg de transfisc ley27743</t>
  </si>
  <si>
    <t>21156 Comision transf otros bcos canales Comision transferencias</t>
  </si>
  <si>
    <t>21156 Iva 21% reg de transfisc ley27743</t>
  </si>
  <si>
    <t>21157 Comision transf otros bcos canales Comision transferencias</t>
  </si>
  <si>
    <t>21157 Iva 21% reg de transfisc ley27743</t>
  </si>
  <si>
    <t>Adelanto iibb tuc letra h Resp:30626629942 / 0,12% sobre $1.632.329,71</t>
  </si>
  <si>
    <t>Regimen de recaudacion sircreb n Resp:30626629942 / 1,20% sobre $3.331.409,07</t>
  </si>
  <si>
    <t>3979 Pago comercios getnet nro.liq. 00003979/000000000008581</t>
  </si>
  <si>
    <t>6588 Pago comercios getnet nro.liq. 00006588/000000000008581</t>
  </si>
  <si>
    <t>3339069 Transf recibida cvu mismo titular De instrumental pasteur s r / mercado pago /30626629942</t>
  </si>
  <si>
    <t>1109629 Pago a proveedores recibido Colegio san jose-inst.sagrada 30545542494 03 1109629</t>
  </si>
  <si>
    <t>4250500 Transferencia realizada A entre srl / factura - fac / 30556408390</t>
  </si>
  <si>
    <t>4250501 Transferencia realizada A elementi s a / factura - fac / 30682619739</t>
  </si>
  <si>
    <t>4250502 Transferencia realizada A nuàez gustavo david / factura - fac / 20253144956</t>
  </si>
  <si>
    <t>4250503 Transferencia realizada A lewin,damian ezequiel / factura - fac / 23351613149</t>
  </si>
  <si>
    <t>4250504 Transferencia realizada A agile systems sa / factura - fac / 30712048685</t>
  </si>
  <si>
    <t>4250505 Transferencia realizada A inpack alimenticia sa / varios - var / 30707082298</t>
  </si>
  <si>
    <t>11588705 Debito transf. online banking emp A nancy noemi franco vill / varios - var / 27287732029</t>
  </si>
  <si>
    <t>4250506 Transferencia realizada A distribuidora ejad srl / factura - fac / 30715150359</t>
  </si>
  <si>
    <t>29345802 Transferencia recibida De madariaga/javier / 0029191366 - var / 20291913661</t>
  </si>
  <si>
    <t>3078355 Pago a proveedores recibido Yawar sa 30718189221 03 3078355</t>
  </si>
  <si>
    <t>3087006 Pago a proveedores recibido Analen s r l 30663024120 03 3087006</t>
  </si>
  <si>
    <t>8689344 Pago a proveedores recibido Syntex s.a. 30501282444 03 8689344</t>
  </si>
  <si>
    <t>311012 Pago a proveedores recibido Jose fortunato levy 20103771367 03 0311012</t>
  </si>
  <si>
    <t>22955755 Transf recibida cvu mismo titular De instrumental pasteur s r / mercado pago /30626629942</t>
  </si>
  <si>
    <t>4298029 Transferencia realizada A lett comercial sa / varios - var / 30716267357</t>
  </si>
  <si>
    <t>4298163 Transferencia realizada A vitali, agustin / factura - fac / 20317527501</t>
  </si>
  <si>
    <t>3279860 Suscripcion fondos comunes invers Inversion en fondo super ahorro</t>
  </si>
  <si>
    <t>16576946 Rescate fondos comunes inversion</t>
  </si>
  <si>
    <t>32276414 Pago haberes 2603315072</t>
  </si>
  <si>
    <t>32276420 Pago haberes 2603315072</t>
  </si>
  <si>
    <t>32276428 Pago haberes 2603315072</t>
  </si>
  <si>
    <t>32276429 Pago haberes 2603315072</t>
  </si>
  <si>
    <t>32276432 Pago haberes 2603315072</t>
  </si>
  <si>
    <t>32276433 Pago haberes 2603315072</t>
  </si>
  <si>
    <t>32276430 Pago haberes 2603315072</t>
  </si>
  <si>
    <t>32276431 Pago haberes 2603315072</t>
  </si>
  <si>
    <t>32276435 Pago haberes 2603315072</t>
  </si>
  <si>
    <t>32276434 Pago haberes 2603315072</t>
  </si>
  <si>
    <t>32276417 Pago haberes 2603315072</t>
  </si>
  <si>
    <t>32276408 Pago haberes 2603315072</t>
  </si>
  <si>
    <t>32276411 Pago haberes 2603315072</t>
  </si>
  <si>
    <t>32276423 Pago haberes 2603315072</t>
  </si>
  <si>
    <t>32276426 Pago haberes 2603315072</t>
  </si>
  <si>
    <t>32276416 Pago haberes 2603315072</t>
  </si>
  <si>
    <t>32276413 Pago haberes 2603315072</t>
  </si>
  <si>
    <t>32276421 Pago haberes 2603315072</t>
  </si>
  <si>
    <t>32276418 Pago haberes 2603315072</t>
  </si>
  <si>
    <t>32276407 Pago haberes 2603315072</t>
  </si>
  <si>
    <t>32276412 Pago haberes 2603315072</t>
  </si>
  <si>
    <t>32276422 Pago haberes 2603315072</t>
  </si>
  <si>
    <t>32276409 Pago haberes 2603315072</t>
  </si>
  <si>
    <t>32276415 Pago haberes 2603315072</t>
  </si>
  <si>
    <t>32276419 Pago haberes 2603315072</t>
  </si>
  <si>
    <t>32276405 Pago haberes 2603315072</t>
  </si>
  <si>
    <t>32276406 Pago haberes 2603315072</t>
  </si>
  <si>
    <t>32276404 Pago haberes 2603315072</t>
  </si>
  <si>
    <t>32276425 Pago haberes 2603315072</t>
  </si>
  <si>
    <t>32276427 Pago haberes 2603315072</t>
  </si>
  <si>
    <t>32276410 Pago haberes 2603315072</t>
  </si>
  <si>
    <t>32276424 Pago haberes 2603315072</t>
  </si>
  <si>
    <t>32276403 Pago haberes 2603315072</t>
  </si>
  <si>
    <t>32276677 Pago de honorarios 2603315072</t>
  </si>
  <si>
    <t>32276676 Pago de honorarios 2603315072</t>
  </si>
  <si>
    <t>32276678 Pago de honorarios 2603315072</t>
  </si>
  <si>
    <t>TOTALES</t>
  </si>
  <si>
    <t>AUDITORÍA: MOVIMIENTOS DETECTADOS EN SISTEMA - Mar2026</t>
  </si>
  <si>
    <t>Documento/Ref</t>
  </si>
  <si>
    <t>Detalle</t>
  </si>
  <si>
    <t>Debe</t>
  </si>
  <si>
    <t>Haber</t>
  </si>
  <si>
    <t>MOVFONDOS - 7299</t>
  </si>
  <si>
    <t>Banco Santander Cta Cte $</t>
  </si>
  <si>
    <t>00007701</t>
  </si>
  <si>
    <t>28696017</t>
  </si>
  <si>
    <t>70400026</t>
  </si>
  <si>
    <t>16751141</t>
  </si>
  <si>
    <t>83499012</t>
  </si>
  <si>
    <t>00000292</t>
  </si>
  <si>
    <t>MOVFONDOS - 7303</t>
  </si>
  <si>
    <t>30708046465 Quantum Srl</t>
  </si>
  <si>
    <t>MOVFONDOS - 7307</t>
  </si>
  <si>
    <t>30708403020  M C Fragancias Sa / 9086 - Fac /</t>
  </si>
  <si>
    <t>PAGO - 2926</t>
  </si>
  <si>
    <t>MOVFONDOS - 7313</t>
  </si>
  <si>
    <t>MOVFONDOS - 7314</t>
  </si>
  <si>
    <t>MOVFONDOS - 7315</t>
  </si>
  <si>
    <t>MOVFONDOS - 7319</t>
  </si>
  <si>
    <t>30716914816  Medizin S.a.s / - Var /</t>
  </si>
  <si>
    <t>MOVFONDOS - 7321</t>
  </si>
  <si>
    <t>AGGETNET - 377</t>
  </si>
  <si>
    <t>MOVFONDOS - 7722</t>
  </si>
  <si>
    <t>MOVFONDOS - 7320</t>
  </si>
  <si>
    <t>30709715980  Bioingepro Srl</t>
  </si>
  <si>
    <t>PAGO - 2930</t>
  </si>
  <si>
    <t>PAGO - 2931</t>
  </si>
  <si>
    <t>PAGO - 2932</t>
  </si>
  <si>
    <t>PAGO - 2933</t>
  </si>
  <si>
    <t>PAGO - 2934</t>
  </si>
  <si>
    <t>PAGO - 2937</t>
  </si>
  <si>
    <t>MOVFONDOS - 7326</t>
  </si>
  <si>
    <t>30586761419 Universidad Nacional Del Cent</t>
  </si>
  <si>
    <t>MOVFONDOS - 7327</t>
  </si>
  <si>
    <t>27305645058 Maria Martina De Batti / - Var /</t>
  </si>
  <si>
    <t>MOVFONDOS - 7328</t>
  </si>
  <si>
    <t>20315308721  Nicolas Errasti Martin / - Var /</t>
  </si>
  <si>
    <t>MOVFONDOS - 7329</t>
  </si>
  <si>
    <t>30522947632  Bueloni Y Cia / Factura - Fac /</t>
  </si>
  <si>
    <t>MOVFONDOS - 7330</t>
  </si>
  <si>
    <t>30532610989 Farmacia Colon Srl / Factura - Fac /</t>
  </si>
  <si>
    <t>PAGO - 2938</t>
  </si>
  <si>
    <t>MOVFONDOS - 7334</t>
  </si>
  <si>
    <t>PAGO - 2939</t>
  </si>
  <si>
    <t>MOVFONDOS - 7335</t>
  </si>
  <si>
    <t>Soc Benef Italiano</t>
  </si>
  <si>
    <t>MOVFONDOS - 7366</t>
  </si>
  <si>
    <t>28666151</t>
  </si>
  <si>
    <t>AGGETNET - 383</t>
  </si>
  <si>
    <t>MOVFONDOS - 7344</t>
  </si>
  <si>
    <t>23470892919  Badano/wilmer Estanisl / 0047089291 - Var /</t>
  </si>
  <si>
    <t>MOVFONDOS - 7345</t>
  </si>
  <si>
    <t>Transferencia Ctas Mobile Banking - De Carla Maria Esquivel A / Varios - Var / 23246146004</t>
  </si>
  <si>
    <t>AGGETNET - 384</t>
  </si>
  <si>
    <t>PAGO - 2945</t>
  </si>
  <si>
    <t>PAGO - 2946</t>
  </si>
  <si>
    <t>PAGO - 2947</t>
  </si>
  <si>
    <t>PAGO - 2949</t>
  </si>
  <si>
    <t>PAGO - 2950</t>
  </si>
  <si>
    <t>PAGO - 2951</t>
  </si>
  <si>
    <t>PAGO - 2952</t>
  </si>
  <si>
    <t>PAGO - 2953</t>
  </si>
  <si>
    <t>PAGO - 2954</t>
  </si>
  <si>
    <t>PAGO - 2955</t>
  </si>
  <si>
    <t>PAGO - 2956</t>
  </si>
  <si>
    <t>PAGO - 2957</t>
  </si>
  <si>
    <t>MOVFONDOS - 7347</t>
  </si>
  <si>
    <t>30641818972 Transquimica Marina / Pr 13220 - Fac /</t>
  </si>
  <si>
    <t>MOVFONDOS - 7349</t>
  </si>
  <si>
    <t>MOVFONDOS - 7351</t>
  </si>
  <si>
    <t>MOVFONDOS - 7352</t>
  </si>
  <si>
    <t>27232703240 Sandra Edith Zulian / - Var /</t>
  </si>
  <si>
    <t>MOVFONDOS - 7356</t>
  </si>
  <si>
    <t>27458873521 Borrell, Jimena Ayl N / Varios - Var /</t>
  </si>
  <si>
    <t>MOVFONDOS - 7357</t>
  </si>
  <si>
    <t>30707509356 Chemit Argentina Srl / Varios - Var /</t>
  </si>
  <si>
    <t>MOVFONDOS - 7358</t>
  </si>
  <si>
    <t>30547110427   Sgs Argentina Sa</t>
  </si>
  <si>
    <t>AGGETNET - 385</t>
  </si>
  <si>
    <t>MOVFONDOS - 7359</t>
  </si>
  <si>
    <t>30708935324 Los Vascos Srl</t>
  </si>
  <si>
    <t>MOVFONDOS - 7362</t>
  </si>
  <si>
    <t>27164133228  Norma Noemi Miceli / Uala /</t>
  </si>
  <si>
    <t>MOVFONDOS - 7363</t>
  </si>
  <si>
    <t>27448584653  Cignoli, Agustina / Varios - Var /</t>
  </si>
  <si>
    <t>MOVFONDOS - 7364</t>
  </si>
  <si>
    <t>27461493667 Sofia Bello / Prex /</t>
  </si>
  <si>
    <t>MOVFONDOS - 7365</t>
  </si>
  <si>
    <t>00016982</t>
  </si>
  <si>
    <t>74467888</t>
  </si>
  <si>
    <t>MOVFONDOS - 7372</t>
  </si>
  <si>
    <t>30544210803   Francisco H. Walz S.c.a.</t>
  </si>
  <si>
    <t>MOVFONDOS - 7373</t>
  </si>
  <si>
    <t>27323476905  Arias,analia Natali / Transf - Var /</t>
  </si>
  <si>
    <t>MOVFONDOS - 7374</t>
  </si>
  <si>
    <t>27462112535 De Violeta Cardozo / - Var /</t>
  </si>
  <si>
    <t>MOVFONDOS - 7387</t>
  </si>
  <si>
    <t>30519887335  S.n.p. - Microsules Arge Fac</t>
  </si>
  <si>
    <t>MOVFONDOS - 7388</t>
  </si>
  <si>
    <t>27961822357 Sofia Carolina Arzuza / - Var /</t>
  </si>
  <si>
    <t>MOVFONDOS - 7389</t>
  </si>
  <si>
    <t>20250601167  Pacheco/geronimo / - Var /</t>
  </si>
  <si>
    <t>MOVFONDOS - 7390</t>
  </si>
  <si>
    <t>30708432071  Ingredients Solutions / Varios - Var /</t>
  </si>
  <si>
    <t>MOVFONDOS - 7391</t>
  </si>
  <si>
    <t>27445948727 Azul/a Bulacio / - Var /</t>
  </si>
  <si>
    <t>AGGETNET - 386</t>
  </si>
  <si>
    <t>MOVFONDOS - 7385</t>
  </si>
  <si>
    <t>27467497389 Ledesma Ana Suyay / 7626 - Var /</t>
  </si>
  <si>
    <t>MOVFONDOS - 7386</t>
  </si>
  <si>
    <t>23252269584 Claudia De Luca / Varios - Var /</t>
  </si>
  <si>
    <t>MOVFONDOS - 7382</t>
  </si>
  <si>
    <t>00007702</t>
  </si>
  <si>
    <t>00007650</t>
  </si>
  <si>
    <t>MOVFONDOS - 7383</t>
  </si>
  <si>
    <t>00003588</t>
  </si>
  <si>
    <t>00000679</t>
  </si>
  <si>
    <t>MOVFONDOS - 7392</t>
  </si>
  <si>
    <t>30715368850  Cnc Donelab Srl  03 1819671</t>
  </si>
  <si>
    <t>MOVFONDOS - 7393</t>
  </si>
  <si>
    <t>MOVFONDOS - 7394</t>
  </si>
  <si>
    <t>PAGO - 2969</t>
  </si>
  <si>
    <t>MOVFONDOS - 7404</t>
  </si>
  <si>
    <t>27296849052  Roxana Natalia Polack / Varios - Var /</t>
  </si>
  <si>
    <t>MOVFONDOS - 7405</t>
  </si>
  <si>
    <t>27944736919  Alison Joaquina Mendoza N/ Uala /</t>
  </si>
  <si>
    <t>MOVFONDOS - 7406</t>
  </si>
  <si>
    <t>30717631133 Apolo Biotech Sas / - Fac /</t>
  </si>
  <si>
    <t>MOVFONDOS - 7407</t>
  </si>
  <si>
    <t>Pago A Proveedores Recibido - Energia Renovable Sa 33711594499 03 3056140</t>
  </si>
  <si>
    <t>MOVFONDOS - 7408</t>
  </si>
  <si>
    <t>23455252024 Martinez,ana Clara / Transf - Var /</t>
  </si>
  <si>
    <t>AGGETNET - 387</t>
  </si>
  <si>
    <t>PAGO - 2971</t>
  </si>
  <si>
    <t>PAGO - 2972</t>
  </si>
  <si>
    <t>PAGO - 2973</t>
  </si>
  <si>
    <t>PAGO - 2975</t>
  </si>
  <si>
    <t>PAGO - 2976</t>
  </si>
  <si>
    <t>PAGO - 2977</t>
  </si>
  <si>
    <t>PAGO - 2978</t>
  </si>
  <si>
    <t>PAGO - 2979</t>
  </si>
  <si>
    <t>PAGO - 2980</t>
  </si>
  <si>
    <t>PAGO - 2981</t>
  </si>
  <si>
    <t>PAGO - 2982</t>
  </si>
  <si>
    <t>PAGO - 2983</t>
  </si>
  <si>
    <t>PAGO - 2984</t>
  </si>
  <si>
    <t>PAGO - 2985</t>
  </si>
  <si>
    <t>PAGO - 2986</t>
  </si>
  <si>
    <t>MOVFONDOS - 7409</t>
  </si>
  <si>
    <t>MOVFONDOS - 7410</t>
  </si>
  <si>
    <t>30577357532 Univ.nac.de S.luis / Op 915 - Var /</t>
  </si>
  <si>
    <t>MOVFONDOS - 7412</t>
  </si>
  <si>
    <t>MOVFONDOS - 7414</t>
  </si>
  <si>
    <t>MOVFONDOS - 7415</t>
  </si>
  <si>
    <t>MOVFONDOS - 7417</t>
  </si>
  <si>
    <t>MOVFONDOS - 7418</t>
  </si>
  <si>
    <t>MOVFONDOS - 7419</t>
  </si>
  <si>
    <t>MOVFONDOS - 7423</t>
  </si>
  <si>
    <t>30522947632 Ricardo Bueloni Y Cia / Factura - Fac /</t>
  </si>
  <si>
    <t>MOVFONDOS - 7424</t>
  </si>
  <si>
    <t>MOVFONDOS - 7425</t>
  </si>
  <si>
    <t>MOVFONDOS - 7426</t>
  </si>
  <si>
    <t>MOVFONDOS - 7427</t>
  </si>
  <si>
    <t>MOVFONDOS - 7428</t>
  </si>
  <si>
    <t>MOVFONDOS - 7429</t>
  </si>
  <si>
    <t>AGGETNET - 388</t>
  </si>
  <si>
    <t>MOVFONDOS - 7443</t>
  </si>
  <si>
    <t>20406421393 Carlos Hernan Gauna / Lemon /</t>
  </si>
  <si>
    <t>MOVFONDOS - 7444</t>
  </si>
  <si>
    <t>20346311496  Mario Kinderknecht / Prex /</t>
  </si>
  <si>
    <t>MOVFONDOS - 7445</t>
  </si>
  <si>
    <t>30652097525  Fundacion De Investiga / H1 - Fac /</t>
  </si>
  <si>
    <t>MOVFONDOS - 7446</t>
  </si>
  <si>
    <t>20332361504  Pablo Martin Blasco / Personal Pay /</t>
  </si>
  <si>
    <t>MOVFONDOS - 7447</t>
  </si>
  <si>
    <t>30699660376  Marpama S.a. 03 0248566</t>
  </si>
  <si>
    <t>PAGO - 2995</t>
  </si>
  <si>
    <t>MOVFONDOS - 7451</t>
  </si>
  <si>
    <t>30715717723 Redilab Sa  03 3223148</t>
  </si>
  <si>
    <t>MOVFONDOS - 7452</t>
  </si>
  <si>
    <t>27447601716 N/a Zapata Portillo / - Var /</t>
  </si>
  <si>
    <t>MOVFONDOS - 7453</t>
  </si>
  <si>
    <t>30717310000 Noveco Srl  03 0211824</t>
  </si>
  <si>
    <t>MOVFONDOS - 7454</t>
  </si>
  <si>
    <t>000001140</t>
  </si>
  <si>
    <t>00005995</t>
  </si>
  <si>
    <t>00010956</t>
  </si>
  <si>
    <t>80095795</t>
  </si>
  <si>
    <t>00006955</t>
  </si>
  <si>
    <t>00001831</t>
  </si>
  <si>
    <t>06614696</t>
  </si>
  <si>
    <t>MOVFONDOS - 7455</t>
  </si>
  <si>
    <t>30717445917 International Argenetics Lab  03 0105270</t>
  </si>
  <si>
    <t>MOVFONDOS - 7456</t>
  </si>
  <si>
    <t>27459947979  Monzon, Sofia Lihuen / Compra Web - Var /</t>
  </si>
  <si>
    <t>MOVFONDOS - 7457</t>
  </si>
  <si>
    <t>30546666561 Universidad Bs As F. De Agron  03 6284049</t>
  </si>
  <si>
    <t>MOVFONDOS - 7458</t>
  </si>
  <si>
    <t>33634683319 Surplast Sa  03 3290479</t>
  </si>
  <si>
    <t>MOVFONDOS - 7459</t>
  </si>
  <si>
    <t>MOVFONDOS - 7460</t>
  </si>
  <si>
    <t>30711394105  Fundacion Sol Puntan O / H36871 - Var /</t>
  </si>
  <si>
    <t>AGGETNET - 389</t>
  </si>
  <si>
    <t>PAGO - 2999</t>
  </si>
  <si>
    <t>PAGO - 3000</t>
  </si>
  <si>
    <t>PAGO - 3001</t>
  </si>
  <si>
    <t>PAGO - 3002</t>
  </si>
  <si>
    <t>PAGO - 3003</t>
  </si>
  <si>
    <t>PAGO - 3004</t>
  </si>
  <si>
    <t>PAGO - 3005</t>
  </si>
  <si>
    <t>PAGO - 3007</t>
  </si>
  <si>
    <t>MOVFONDOS - 7465</t>
  </si>
  <si>
    <t>MOVFONDOS - 7467</t>
  </si>
  <si>
    <t>30577357532 Univ.nac.de S.luis / Op 954 - Var /</t>
  </si>
  <si>
    <t>MOVFONDOS - 7468</t>
  </si>
  <si>
    <t>Transferencia Recibida - De Vera,mar A Agustina / Transf - Var / 27373292090</t>
  </si>
  <si>
    <t>MOVFONDOS - 7471</t>
  </si>
  <si>
    <t>30999033764  Municipalidad De Salto / Var Trans - Var /</t>
  </si>
  <si>
    <t>MOVFONDOS - 7472</t>
  </si>
  <si>
    <t>Transferencia Recibida - De Romero/andrea Miche / 0045503562 - Var / 27455035622</t>
  </si>
  <si>
    <t>MOVFONDOS - 7473</t>
  </si>
  <si>
    <t>30702166779  Fundacion Instituto Universit  03 3339062</t>
  </si>
  <si>
    <t>MOVFONDOS - 7474</t>
  </si>
  <si>
    <t>27270710285  Campora/marcela Victor / Inst Pasteur - Var /</t>
  </si>
  <si>
    <t>MOVFONDOS - 7478</t>
  </si>
  <si>
    <t>33626615959  Fundacion Pablo Cassara  03 6415261</t>
  </si>
  <si>
    <t>MOVFONDOS - 7479</t>
  </si>
  <si>
    <t>30528818400  Asoc Civ La Educacion / Factura - Fac /</t>
  </si>
  <si>
    <t>MOVFONDOS - 7480</t>
  </si>
  <si>
    <t>30624317277 Lilis S.a. / Factura - Fac / ctura - Fac /</t>
  </si>
  <si>
    <t>MOVFONDOS - 7485</t>
  </si>
  <si>
    <t>MOVFONDOS - 7486</t>
  </si>
  <si>
    <t>30595517199  Universidad Juan Agustin Maza  03 6513639</t>
  </si>
  <si>
    <t>MOVFONDOS - 7487</t>
  </si>
  <si>
    <t>30690280988  Laboratorios Biofarma Sa  03 3405959</t>
  </si>
  <si>
    <t>AGGETNET - 390</t>
  </si>
  <si>
    <t>MOVFONDOS - 7497</t>
  </si>
  <si>
    <t>83499090</t>
  </si>
  <si>
    <t>MOVFONDOS - 7489</t>
  </si>
  <si>
    <t>30663418579 smurfit Kappa De Arge Cuit</t>
  </si>
  <si>
    <t>MOVFONDOS - 7496</t>
  </si>
  <si>
    <t>28605213</t>
  </si>
  <si>
    <t>90001536</t>
  </si>
  <si>
    <t>00001827</t>
  </si>
  <si>
    <t>MOVFONDOS - 7499</t>
  </si>
  <si>
    <t>MOVFONDOS - 7504</t>
  </si>
  <si>
    <t>30546669463 Universidad Nacional De Cuyo  03 1104615</t>
  </si>
  <si>
    <t>MOVFONDOS - 7505</t>
  </si>
  <si>
    <t>MOVFONDOS - 7506</t>
  </si>
  <si>
    <t>30629539731  Coop. Facultad De Cienc  03 0227623</t>
  </si>
  <si>
    <t>MOVFONDOS - 7507</t>
  </si>
  <si>
    <t>20248243725 De Moreyra, Fernando Andr / Varios - Var /</t>
  </si>
  <si>
    <t>MOVFONDOS - 7508</t>
  </si>
  <si>
    <t>30546666561 Universidad De Buenos Aires  03 3492116</t>
  </si>
  <si>
    <t>MOVFONDOS - 7509</t>
  </si>
  <si>
    <t>30716914816  Medizin S.a.s / - Fac /</t>
  </si>
  <si>
    <t>MOVFONDOS - 7510</t>
  </si>
  <si>
    <t>Pago A Proveedores Recibido - Fund Favaloro P L Doc E Inv M 33559768869 03 6696388</t>
  </si>
  <si>
    <t>MOVFONDOS - 7511</t>
  </si>
  <si>
    <t>27459844487 Segovia, Samira Agusti / Varios - Var /</t>
  </si>
  <si>
    <t>MOVFONDOS - 7512</t>
  </si>
  <si>
    <t>PAGO - 3016</t>
  </si>
  <si>
    <t>AGGETNET - 391</t>
  </si>
  <si>
    <t>MOVFONDOS - 7516</t>
  </si>
  <si>
    <t>27260576122  Criado/maria Victoria / 0026057612 - Var /</t>
  </si>
  <si>
    <t>MOVFONDOS - 7517</t>
  </si>
  <si>
    <t>MOVFONDOS - 7518</t>
  </si>
  <si>
    <t>20103771367  Jose Fortunato Levy  03 0242972</t>
  </si>
  <si>
    <t>PAGO - 3024</t>
  </si>
  <si>
    <t>MOVFONDOS - 7528</t>
  </si>
  <si>
    <t>27468581030  Zoe Berenice Vinay Gua / - Var /</t>
  </si>
  <si>
    <t>AGGETNET - 392</t>
  </si>
  <si>
    <t>PAGO - 3028</t>
  </si>
  <si>
    <t>PAGO - 3029</t>
  </si>
  <si>
    <t>PAGO - 3030</t>
  </si>
  <si>
    <t>PAGO - 3031</t>
  </si>
  <si>
    <t>PAGO - 3022</t>
  </si>
  <si>
    <t>PAGO - 3023</t>
  </si>
  <si>
    <t>PAGO - 3025</t>
  </si>
  <si>
    <t>PAGO - 3026</t>
  </si>
  <si>
    <t>PAGO - 3027</t>
  </si>
  <si>
    <t>MOVFONDOS - 7524</t>
  </si>
  <si>
    <t>MOVFONDOS - 7525</t>
  </si>
  <si>
    <t>01142814</t>
  </si>
  <si>
    <t>MOVFONDOS - 7526</t>
  </si>
  <si>
    <t>90354876</t>
  </si>
  <si>
    <t>MOVFONDOS - 7529</t>
  </si>
  <si>
    <t>27222006657 Rumi/maria Valeria / 0022200665 - Fac /</t>
  </si>
  <si>
    <t>MOVFONDOS - 7539</t>
  </si>
  <si>
    <t>27383187228  Brayotta Maria Fernand / Ref - Var /</t>
  </si>
  <si>
    <t>MOVFONDOS - 7540</t>
  </si>
  <si>
    <t>23306132849 Quiroga Lohaiza,claudi / Transf - Var /</t>
  </si>
  <si>
    <t>MOVFONDOS - 7541</t>
  </si>
  <si>
    <t>20324244329  Montiel,ruben Dario / Rmontiel - Var /</t>
  </si>
  <si>
    <t>MOVFONDOS - 7542</t>
  </si>
  <si>
    <t>MOVFONDOS - 7546</t>
  </si>
  <si>
    <t>30610211638 Inst Salesiana Inst Pi / Varios - Var /</t>
  </si>
  <si>
    <t>AGGETNET - 393</t>
  </si>
  <si>
    <t>MOVFONDOS - 7559</t>
  </si>
  <si>
    <t>000001163</t>
  </si>
  <si>
    <t>MOVFONDOS - 7592</t>
  </si>
  <si>
    <t>03000</t>
  </si>
  <si>
    <t>MOVFONDOS - 7747</t>
  </si>
  <si>
    <t>03001</t>
  </si>
  <si>
    <t>PAGO - 3035</t>
  </si>
  <si>
    <t>MOVFONDOS - 7548</t>
  </si>
  <si>
    <t>PAGO - 3036</t>
  </si>
  <si>
    <t>MOVFONDOS - 7551</t>
  </si>
  <si>
    <t>Alimentos magro 30707731601</t>
  </si>
  <si>
    <t>MOVFONDOS - 7552</t>
  </si>
  <si>
    <t>30693212347  lab s jose diag y trat / - hon /</t>
  </si>
  <si>
    <t>MOVFONDOS - 7553</t>
  </si>
  <si>
    <t>3070750935  chemit argentina srl / varios - var /</t>
  </si>
  <si>
    <t>MOVFONDOS - 7554</t>
  </si>
  <si>
    <t>Universidad gral. san martin 30662473916</t>
  </si>
  <si>
    <t>MOVFONDOS - 7555</t>
  </si>
  <si>
    <t>De bellandi/graciela c / pasteur - fac / 27126307050</t>
  </si>
  <si>
    <t>AGGETNET - 394</t>
  </si>
  <si>
    <t>MOVFONDOS - 7556</t>
  </si>
  <si>
    <t>90028173</t>
  </si>
  <si>
    <t>PAGO - 3038</t>
  </si>
  <si>
    <t>PAGO - 3039</t>
  </si>
  <si>
    <t>PAGO - 3040</t>
  </si>
  <si>
    <t>PAGO - 3041</t>
  </si>
  <si>
    <t>MOVFONDOS - 7563</t>
  </si>
  <si>
    <t>MOVFONDOS - 7567</t>
  </si>
  <si>
    <t>30710494459  Fundacion del inst biologia m 03 0213874</t>
  </si>
  <si>
    <t>MOVFONDOS - 7570</t>
  </si>
  <si>
    <t>272621572  diana carolina blostei / varios - var /</t>
  </si>
  <si>
    <t>MOVFONDOS - 7574</t>
  </si>
  <si>
    <t>30709327247  lacfarm srl / mercado pago</t>
  </si>
  <si>
    <t>MOVFONDOS - 7575</t>
  </si>
  <si>
    <t>Levy 20103771367 03 0294545</t>
  </si>
  <si>
    <t>MOVFONDOS - 7576</t>
  </si>
  <si>
    <t>30642137251 Universidad nacional de quilm  63 34</t>
  </si>
  <si>
    <t>AGGETNET - 395</t>
  </si>
  <si>
    <t>PAGO - 3045</t>
  </si>
  <si>
    <t>PAGO - 3046</t>
  </si>
  <si>
    <t>MOVFONDOS - 7578</t>
  </si>
  <si>
    <t>30709327247 lacfarm srl / - var /</t>
  </si>
  <si>
    <t>MOVFONDOS - 7579</t>
  </si>
  <si>
    <t>MOVFONDOS - 7580</t>
  </si>
  <si>
    <t>30559310308 Laboratorio mantel sa</t>
  </si>
  <si>
    <t>MOVFONDOS - 7581</t>
  </si>
  <si>
    <t>FC  69145 SERV TEC   pamela aymara caraballo / mercado pago /2332</t>
  </si>
  <si>
    <t>MOVFONDOS - 7582</t>
  </si>
  <si>
    <t>27294175682 druille/magdalena / 0029417568 - var /</t>
  </si>
  <si>
    <t>MOVFONDOS - 7583</t>
  </si>
  <si>
    <t>glisoni,romina julieta / transf - var / 272836935</t>
  </si>
  <si>
    <t>MOVFONDOS - 7584</t>
  </si>
  <si>
    <t>AGGETNET - 396</t>
  </si>
  <si>
    <t>MOVFONDOS - 7586</t>
  </si>
  <si>
    <t>30546670550 Univ nac lit ad  t10 00340021947</t>
  </si>
  <si>
    <t>MOVFONDOS - 7587</t>
  </si>
  <si>
    <t>30689902002 Fundacion unive  pag o a proveed</t>
  </si>
  <si>
    <t>MOVFONDOS - 7588</t>
  </si>
  <si>
    <t>20121057205  gentile fernando man / - fac /</t>
  </si>
  <si>
    <t>MOVFONDOS - 7589</t>
  </si>
  <si>
    <t>30593368935  juliver sa / fac fac 6929 - fac /</t>
  </si>
  <si>
    <t>MOVFONDOS - 7591</t>
  </si>
  <si>
    <t>000186</t>
  </si>
  <si>
    <t>MOVFONDOS - 7593</t>
  </si>
  <si>
    <t>20278555144 e sires/jorge ignacio / 0027855514 - var /</t>
  </si>
  <si>
    <t>MOVFONDOS - 7597</t>
  </si>
  <si>
    <t>20357220131  luis augusto martin / varios - var /</t>
  </si>
  <si>
    <t>PAGO - 3072</t>
  </si>
  <si>
    <t>PAGO - 3073</t>
  </si>
  <si>
    <t>PAGO - 3074</t>
  </si>
  <si>
    <t>PAGO - 3075</t>
  </si>
  <si>
    <t>PAGO - 3076</t>
  </si>
  <si>
    <t>PAGO - 3077</t>
  </si>
  <si>
    <t>PAGO - 3078</t>
  </si>
  <si>
    <t>PAGO - 3079</t>
  </si>
  <si>
    <t>MOVFONDOS - 7598</t>
  </si>
  <si>
    <t>30707986324   iluminarte srl / factura - fac /</t>
  </si>
  <si>
    <t>MOVFONDOS - 7599</t>
  </si>
  <si>
    <t>30649264895   asoc coope otto krause / - fac /</t>
  </si>
  <si>
    <t>PAGO - 3083</t>
  </si>
  <si>
    <t>MOVFONDOS - 7600</t>
  </si>
  <si>
    <t>MOVFONDOS - 7602</t>
  </si>
  <si>
    <t>MOVFONDOS - 7603</t>
  </si>
  <si>
    <t>MOVFONDOS - 7604</t>
  </si>
  <si>
    <t>MOVFONDOS - 7606</t>
  </si>
  <si>
    <t>MOVFONDOS - 7607</t>
  </si>
  <si>
    <t>30708406046  fundacionros-cytec / 62 pict 2020 - fac /</t>
  </si>
  <si>
    <t>MOVFONDOS - 7609</t>
  </si>
  <si>
    <t>MOVFONDOS - 7618</t>
  </si>
  <si>
    <t>27441346919  camila lobaiza / - var /</t>
  </si>
  <si>
    <t>MOVFONDOS - 7619</t>
  </si>
  <si>
    <t>30689902002 Fundacion unive</t>
  </si>
  <si>
    <t>MOVFONDOS - 7620</t>
  </si>
  <si>
    <t>30546670550  Univ nac lit ad</t>
  </si>
  <si>
    <t>MOVFONDOS - 7621</t>
  </si>
  <si>
    <t>20921516925  brune/descalzi igor / - var /</t>
  </si>
  <si>
    <t>AGGETNET - 397</t>
  </si>
  <si>
    <t>MOVFONDOS - 7617</t>
  </si>
  <si>
    <t>Gran mandisovi sa 30715635123</t>
  </si>
  <si>
    <t>MOVFONDOS - 7629</t>
  </si>
  <si>
    <t>30709287792  Cuenca s a</t>
  </si>
  <si>
    <t>MOVFONDOS - 7633</t>
  </si>
  <si>
    <t>MOVFONDOS - 7634</t>
  </si>
  <si>
    <t>Amfortis sa 30697577838</t>
  </si>
  <si>
    <t>MOVFONDOS - 7636</t>
  </si>
  <si>
    <t>Jose fortunato levy 20103771367</t>
  </si>
  <si>
    <t>MOVFONDOS - 7637</t>
  </si>
  <si>
    <t>De nanox release technol / 69287 - fac / 30714324</t>
  </si>
  <si>
    <t>MOVFONDOS - 7639</t>
  </si>
  <si>
    <t>MOVFONDOS - 7640</t>
  </si>
  <si>
    <t>AGGETNET - 398</t>
  </si>
  <si>
    <t>MOVFONDOS - 7642</t>
  </si>
  <si>
    <t>camilo jeremias rodrigue</t>
  </si>
  <si>
    <t>PAGO - 3098</t>
  </si>
  <si>
    <t>MOVFONDOS - 7643</t>
  </si>
  <si>
    <t>30501317019  sidus sa cuit</t>
  </si>
  <si>
    <t>MOVFONDOS - 7646</t>
  </si>
  <si>
    <t>20-132147De tripodi/valeria paula / 0020200391 - var / 27202003910</t>
  </si>
  <si>
    <t>MOVFONDOS - 7652</t>
  </si>
  <si>
    <t>23292996314   flores, paola lorena</t>
  </si>
  <si>
    <t>MOVFONDOS - 7653</t>
  </si>
  <si>
    <t>30522228210 Wiener laboratorios  03 0244110</t>
  </si>
  <si>
    <t>MOVFONDOS - 7657</t>
  </si>
  <si>
    <t>Chacra experime 33509195639</t>
  </si>
  <si>
    <t>MOVFONDOS - 7658</t>
  </si>
  <si>
    <t>aguirre gonzalo ezequi / 0035391831 - var / 20353918312</t>
  </si>
  <si>
    <t>MOVFONDOS - 7659</t>
  </si>
  <si>
    <t>e jonas ariel arguello m / - var / 20943137073</t>
  </si>
  <si>
    <t>MOVFONDOS - 7660</t>
  </si>
  <si>
    <t>baier, carlos / - var / 20259905932</t>
  </si>
  <si>
    <t>MOVFONDOS - 7661</t>
  </si>
  <si>
    <t>Holliday scott sa 30539235180</t>
  </si>
  <si>
    <t>AGGETNET - 399</t>
  </si>
  <si>
    <t>MOVFONDOS - 7656</t>
  </si>
  <si>
    <t>boado/lorena analia / - fac / 24267355890</t>
  </si>
  <si>
    <t>MOVFONDOS - 7662</t>
  </si>
  <si>
    <t>Francisco h. walz s.c.a. 30544210803</t>
  </si>
  <si>
    <t>PAGO - 3109</t>
  </si>
  <si>
    <t>MOVFONDOS - 7667</t>
  </si>
  <si>
    <t>MOVFONDOS - 7668</t>
  </si>
  <si>
    <t>MOVFONDOS - 7669</t>
  </si>
  <si>
    <t>beatriz monica meizoso / mercado pago /27109663250</t>
  </si>
  <si>
    <t>MOVFONDOS - 7670</t>
  </si>
  <si>
    <t>Ubatec s.a.-anpcyt 30644259486</t>
  </si>
  <si>
    <t>MOVFONDOS - 7671</t>
  </si>
  <si>
    <t>De silcolor sa / - fac / 30608178917</t>
  </si>
  <si>
    <t>PAGO - 3110</t>
  </si>
  <si>
    <t>MOVFONDOS - 7675</t>
  </si>
  <si>
    <t>MOVFONDOS - 7676</t>
  </si>
  <si>
    <t>30709327247  lacfarm srl / varios - var /</t>
  </si>
  <si>
    <t>MOVFONDOS - 7677</t>
  </si>
  <si>
    <t>30714547719  Instituto de fisiologia y bio</t>
  </si>
  <si>
    <t>MOVFONDOS - 7682</t>
  </si>
  <si>
    <t>AGGETNET - 400</t>
  </si>
  <si>
    <t>PAGO - 3111</t>
  </si>
  <si>
    <t>PAGO - 3112</t>
  </si>
  <si>
    <t>PAGO - 3113</t>
  </si>
  <si>
    <t>PAGO - 3114</t>
  </si>
  <si>
    <t>PAGO - 3115</t>
  </si>
  <si>
    <t>PAGO - 3116</t>
  </si>
  <si>
    <t>PAGO - 3117</t>
  </si>
  <si>
    <t>PAGO - 3118</t>
  </si>
  <si>
    <t>PAGO - 3119</t>
  </si>
  <si>
    <t>MOVFONDOS - 7683</t>
  </si>
  <si>
    <t>30545542494  Colegio san jose-inst.sagrada</t>
  </si>
  <si>
    <t>MOVFONDOS - 7685</t>
  </si>
  <si>
    <t>MOVFONDOS - 7686</t>
  </si>
  <si>
    <t>FRANCO VILLANUEVA NANCY NOEMI</t>
  </si>
  <si>
    <t>PAGO - 3120</t>
  </si>
  <si>
    <t>MOVFONDOS - 7687</t>
  </si>
  <si>
    <t>MOVFONDOS - 7689</t>
  </si>
  <si>
    <t>MOVFONDOS - 7690</t>
  </si>
  <si>
    <t>2029191366  madariaga/javier / 0029191366 - var /</t>
  </si>
  <si>
    <t>MOVFONDOS - 7691</t>
  </si>
  <si>
    <t>Yawar sa 30718189221</t>
  </si>
  <si>
    <t>MOVFONDOS - 7696</t>
  </si>
  <si>
    <t>MOVFONDOS - 7697</t>
  </si>
  <si>
    <t>MOVFONDOS - 7698</t>
  </si>
  <si>
    <t>MOVFONDOS - 7699</t>
  </si>
  <si>
    <t>83499192</t>
  </si>
  <si>
    <t>90034511</t>
  </si>
  <si>
    <t>MOVFONDOS - 7700</t>
  </si>
  <si>
    <t>08782384</t>
  </si>
  <si>
    <t>09232855</t>
  </si>
  <si>
    <t>PAGO - 3122</t>
  </si>
  <si>
    <t>PAGO - 3123</t>
  </si>
  <si>
    <t>MOVFONDOS - 7701</t>
  </si>
  <si>
    <t>Analen s r l 30663024120</t>
  </si>
  <si>
    <t>MOVFONDOS - 7702</t>
  </si>
  <si>
    <t>Syntex s.a. 30501282444</t>
  </si>
  <si>
    <t>MOVFONDOS - 7703</t>
  </si>
  <si>
    <t>AGGETNET - 401</t>
  </si>
  <si>
    <t>RESBANC - 220</t>
  </si>
  <si>
    <t>MOVFONDOS - 7871</t>
  </si>
  <si>
    <t>DETALLE DIARIO DE IMPUESTOS Y GASTOS BANCARIOS - Mar2026</t>
  </si>
  <si>
    <t>Concepto Banco</t>
  </si>
  <si>
    <t>Referencia / Detalle</t>
  </si>
  <si>
    <t>Monto</t>
  </si>
  <si>
    <t>TOTAL COMISION</t>
  </si>
  <si>
    <t>TOTAL IVA</t>
  </si>
  <si>
    <t>IVA PERCEPCION</t>
  </si>
  <si>
    <t>TOTAL IVA PERCEPCION</t>
  </si>
  <si>
    <t>LEY25413 CREDITO</t>
  </si>
  <si>
    <t>Impuesto ley 25.413 credito 0,6% Cta orig: 195-032021/8 - base impo. usd 1.730,8</t>
  </si>
  <si>
    <t>Impuesto ley 25.413 credito 0,6% Cta orig: 195-032021/8 - base impo. usd 1.021,7</t>
  </si>
  <si>
    <t>TOTAL LEY25413 CREDITO</t>
  </si>
  <si>
    <t>LEY25413 DEBITO</t>
  </si>
  <si>
    <t>TOTAL LEY25413 DEBITO</t>
  </si>
  <si>
    <t>PERC IIBB</t>
  </si>
  <si>
    <t>TOTAL PERC IIBB</t>
  </si>
  <si>
    <t>RET IIBB TUCUMAN</t>
  </si>
  <si>
    <t>TOTAL RET IIBB TUCUMAN</t>
  </si>
  <si>
    <t>RET SIRCREB</t>
  </si>
  <si>
    <t>TOTAL RET SIRCREB</t>
  </si>
  <si>
    <t>CONCILIACIÓN BANCARIA - Mar2026</t>
  </si>
  <si>
    <t>⚠  DÉBITOS banco → HABER sistema  ·  CRÉDITOS banco → DEBE sistema</t>
  </si>
  <si>
    <t>1. CRUCE DE MOVIMIENTOS (Banco vs Sistema)</t>
  </si>
  <si>
    <t>Fecha Banco</t>
  </si>
  <si>
    <t>Déb. Banco</t>
  </si>
  <si>
    <t>Cré. Banco</t>
  </si>
  <si>
    <t>Conc. Banco</t>
  </si>
  <si>
    <t>Fecha Sist.</t>
  </si>
  <si>
    <t>Debe Sist.</t>
  </si>
  <si>
    <t>Haber Sist.</t>
  </si>
  <si>
    <t>Ref. Sist.</t>
  </si>
  <si>
    <t>Dif. $</t>
  </si>
  <si>
    <t>Dif. Días</t>
  </si>
  <si>
    <t>Nivel Cierre</t>
  </si>
  <si>
    <t>Estado</t>
  </si>
  <si>
    <t>Alerta/Nota</t>
  </si>
  <si>
    <t>EXACTO</t>
  </si>
  <si>
    <t>CONCILIADO</t>
  </si>
  <si>
    <t>FUERTE</t>
  </si>
  <si>
    <t>CON_DIFERENCIA</t>
  </si>
  <si>
    <t>MEDIO</t>
  </si>
  <si>
    <t>SOLO EN BANCO (79 movimientos sin match)</t>
  </si>
  <si>
    <t>Concepto</t>
  </si>
  <si>
    <t>Tipo Automático</t>
  </si>
  <si>
    <t>TOTAL SOLO EN BANCO</t>
  </si>
  <si>
    <t>* tiene que ser 0</t>
  </si>
  <si>
    <t>SOLO EN SISTEMA (28 movimientos sin match)</t>
  </si>
  <si>
    <t>Ref.</t>
  </si>
  <si>
    <t>AGRUPACIÓN TOTAL POR CONCEPTOS BANCARIOS - Mar2026</t>
  </si>
  <si>
    <t>Tipo Clasificación</t>
  </si>
  <si>
    <t>Concepto Exacto</t>
  </si>
  <si>
    <t>Cant.</t>
  </si>
  <si>
    <t>Total Débitos</t>
  </si>
  <si>
    <t>Total Créditos</t>
  </si>
  <si>
    <t>COMISION COMPENSACION CHEQUES CFU</t>
  </si>
  <si>
    <t>COMISION POR SERVICIO DE CUENTA</t>
  </si>
  <si>
    <t>COMISION SERVICIO CUENTA DOLARES</t>
  </si>
  <si>
    <t>12519 COMISION TRANSF OTROS BCOS CANALES COMISION TRANSFERENCIAS</t>
  </si>
  <si>
    <t>15952 COMISION TRANSF OTROS BCOS CANALES COMISION TRANSFERENCIAS</t>
  </si>
  <si>
    <t>15953 COMISION TRANSF OTROS BCOS CANALES COMISION TRANSFERENCIAS</t>
  </si>
  <si>
    <t>15954 COMISION TRANSF OTROS BCOS CANALES COMISION TRANSFERENCIAS</t>
  </si>
  <si>
    <t>15955 COMISION TRANSF OTROS BCOS CANALES COMISION TRANSFERENCIAS</t>
  </si>
  <si>
    <t>19348 COMISION TRANSF OTROS BCOS CANALES COMISION TRANSFERENCIAS</t>
  </si>
  <si>
    <t>19349 COMISION TRANSF OTROS BCOS CANALES COMISION TRANSFERENCIAS</t>
  </si>
  <si>
    <t>19350 COMISION TRANSF OTROS BCOS CANALES COMISION TRANSFERENCIAS</t>
  </si>
  <si>
    <t>17083 COMISION TRANSF OTROS BCOS CANALES COMISION TRANSFERENCIAS</t>
  </si>
  <si>
    <t>17084 COMISION TRANSF OTROS BCOS CANALES COMISION TRANSFERENCIAS</t>
  </si>
  <si>
    <t>17085 COMISION TRANSF OTROS BCOS CANALES COMISION TRANSFERENCIAS</t>
  </si>
  <si>
    <t>17086 COMISION TRANSF OTROS BCOS CANALES COMISION TRANSFERENCIAS</t>
  </si>
  <si>
    <t>17087 COMISION TRANSF OTROS BCOS CANALES COMISION TRANSFERENCIAS</t>
  </si>
  <si>
    <t>18794 COMISION TRANSF OTROS BCOS CANALES COMISION TRANSFERENCIAS</t>
  </si>
  <si>
    <t>17317 COMISION TRANSF OTROS BCOS CANALES COMISION TRANSFERENCIAS</t>
  </si>
  <si>
    <t>16149 COMISION TRANSF OTROS BCOS CANALES COMISION TRANSFERENCIAS</t>
  </si>
  <si>
    <t>17573 COMISION TRANSF OTROS BCOS CANALES COMISION TRANSFERENCIAS</t>
  </si>
  <si>
    <t>27713 COMISION TRANSF OTROS BCOS CANALES COMISION TRANSFERENCIAS</t>
  </si>
  <si>
    <t>27714 COMISION TRANSF OTROS BCOS CANALES COMISION TRANSFERENCIAS</t>
  </si>
  <si>
    <t>27715 COMISION TRANSF OTROS BCOS CANALES COMISION TRANSFERENCIAS</t>
  </si>
  <si>
    <t>27716 COMISION TRANSF OTROS BCOS CANALES COMISION TRANSFERENCIAS</t>
  </si>
  <si>
    <t>27717 COMISION TRANSF OTROS BCOS CANALES COMISION TRANSFERENCIAS</t>
  </si>
  <si>
    <t>27718 COMISION TRANSF OTROS BCOS CANALES COMISION TRANSFERENCIAS</t>
  </si>
  <si>
    <t>21156 COMISION TRANSF OTROS BCOS CANALES COMISION TRANSFERENCIAS</t>
  </si>
  <si>
    <t>21157 COMISION TRANSF OTROS BCOS CANALES COMISION TRANSFERENCIAS</t>
  </si>
  <si>
    <t>15951 COMISION TRANSF OTROS BCOS CANALES COMISION TRANSFERENCIAS</t>
  </si>
  <si>
    <t>20262 COMISION TRANSF OTROS BCOS CANALES COMISION TRANSFERENCIAS</t>
  </si>
  <si>
    <t>19342 COMISION TRANSF OTROS BCOS CANALES COMISION TRANSFERENCIAS</t>
  </si>
  <si>
    <t>19343 COMISION TRANSF OTROS BCOS CANALES COMISION TRANSFERENCIAS</t>
  </si>
  <si>
    <t>19344 COMISION TRANSF OTROS BCOS CANALES COMISION TRANSFERENCIAS</t>
  </si>
  <si>
    <t>19345 COMISION TRANSF OTROS BCOS CANALES COMISION TRANSFERENCIAS</t>
  </si>
  <si>
    <t>19346 COMISION TRANSF OTROS BCOS CANALES COMISION TRANSFERENCIAS</t>
  </si>
  <si>
    <t>19347 COMISION TRANSF OTROS BCOS CANALES COMISION TRANSFERENCIAS</t>
  </si>
  <si>
    <t>17082 COMISION TRANSF OTROS BCOS CANALES COMISION TRANSFERENCIAS</t>
  </si>
  <si>
    <t>17314 COMISION TRANSF OTROS BCOS CANALES COMISION TRANSFERENCIAS</t>
  </si>
  <si>
    <t>17315 COMISION TRANSF OTROS BCOS CANALES COMISION TRANSFERENCIAS</t>
  </si>
  <si>
    <t>17316 COMISION TRANSF OTROS BCOS CANALES COMISION TRANSFERENCIAS</t>
  </si>
  <si>
    <t>17570 COMISION TRANSF OTROS BCOS CANALES COMISION TRANSFERENCIAS</t>
  </si>
  <si>
    <t>17571 COMISION TRANSF OTROS BCOS CANALES COMISION TRANSFERENCIAS</t>
  </si>
  <si>
    <t>17572 COMISION TRANSF OTROS BCOS CANALES COMISION TRANSFERENCIAS</t>
  </si>
  <si>
    <t>27711 COMISION TRANSF OTROS BCOS CANALES COMISION TRANSFERENCIAS</t>
  </si>
  <si>
    <t>27712 COMISION TRANSF OTROS BCOS CANALES COMISION TRANSFERENCIAS</t>
  </si>
  <si>
    <t>21155 COMISION TRANSF OTROS BCOS CANALES COMISION TRANSFERENCIAS</t>
  </si>
  <si>
    <t>19339 COMISION TRANSF OTROS BCOS CANALES COMISION TRANSFERENCIAS</t>
  </si>
  <si>
    <t>19340 COMISION TRANSF OTROS BCOS CANALES COMISION TRANSFERENCIAS</t>
  </si>
  <si>
    <t>19341 COMISION TRANSF OTROS BCOS CANALES COMISION TRANSFERENCIAS</t>
  </si>
  <si>
    <t>17313 COMISION TRANSF OTROS BCOS CANALES COMISION TRANSFERENCIAS</t>
  </si>
  <si>
    <t>15949 COMISION TRANSF OTROS BCOS CANALES COMISION TRANSFERENCIAS</t>
  </si>
  <si>
    <t>15950 COMISION TRANSF OTROS BCOS CANALES COMISION TRANSFERENCIAS</t>
  </si>
  <si>
    <t>36104 DEBITO AUTOMATICO FINNEGANS SA -000030626629942</t>
  </si>
  <si>
    <t>7304 DEBITO AUTOMATICO ALLIANZ -INSTRUMENTA00001055218</t>
  </si>
  <si>
    <t>256 DEBITO AUTOMATICO BARBUSS RISK SEG-0000001818005143900001</t>
  </si>
  <si>
    <t>167501 DEBITO AUTOMATICO PROSEGUR A -0320000000030626629942</t>
  </si>
  <si>
    <t>32602 DEBITO AUTOMATICO EDESUR SA -0003872953</t>
  </si>
  <si>
    <t>7306 DEBITO AUTOMATICO ALLIANZ -INSTRUMENTA00001055218</t>
  </si>
  <si>
    <t>7305 DEBITO AUTOMATICO ALLIANZ -INSTRUMENTA00001055218</t>
  </si>
  <si>
    <t>7307 DEBITO AUTOMATICO ALLIANZ -INSTRUMENTA00001055218</t>
  </si>
  <si>
    <t>34349 DEBITO AUTOMATICO ALLIANZ -INSTRUMENTA00001055218</t>
  </si>
  <si>
    <t>34348 DEBITO AUTOMATICO ALLIANZ -INSTRUMENTA00001055218</t>
  </si>
  <si>
    <t>101387 DEBITO AUTOMATICO SUARTEC SA -0108538</t>
  </si>
  <si>
    <t>199003 DEBITO AUTOMATICO ARCA (EX AFIP) -27135305222</t>
  </si>
  <si>
    <t>333973 DEBITO AUTOMATICO DIRECCION GRAL D-022211035646</t>
  </si>
  <si>
    <t>34350 DEBITO AUTOMATICO ALLIANZ -INSTRUMENTA00001055218</t>
  </si>
  <si>
    <t>32276676 PAGO DE HONORARIOS 2603315072</t>
  </si>
  <si>
    <t>32276677 PAGO DE HONORARIOS 2603315072</t>
  </si>
  <si>
    <t>32036889 PAGO DE HONORARIOS 2603055072</t>
  </si>
  <si>
    <t>32276678 PAGO DE HONORARIOS 2603315072</t>
  </si>
  <si>
    <t>IVA 21% REG DE TRANSFISC LEY27743</t>
  </si>
  <si>
    <t>IVA PERCEPCION RG 2408</t>
  </si>
  <si>
    <t>12519 IVA 21% REG DE TRANSFISC LEY27743</t>
  </si>
  <si>
    <t>15952 IVA 21% REG DE TRANSFISC LEY27743</t>
  </si>
  <si>
    <t>15953 IVA 21% REG DE TRANSFISC LEY27743</t>
  </si>
  <si>
    <t>15954 IVA 21% REG DE TRANSFISC LEY27743</t>
  </si>
  <si>
    <t>15955 IVA 21% REG DE TRANSFISC LEY27743</t>
  </si>
  <si>
    <t>19348 IVA 21% REG DE TRANSFISC LEY27743</t>
  </si>
  <si>
    <t>19349 IVA 21% REG DE TRANSFISC LEY27743</t>
  </si>
  <si>
    <t>19350 IVA 21% REG DE TRANSFISC LEY27743</t>
  </si>
  <si>
    <t>17083 IVA 21% REG DE TRANSFISC LEY27743</t>
  </si>
  <si>
    <t>17084 IVA 21% REG DE TRANSFISC LEY27743</t>
  </si>
  <si>
    <t>17085 IVA 21% REG DE TRANSFISC LEY27743</t>
  </si>
  <si>
    <t>17086 IVA 21% REG DE TRANSFISC LEY27743</t>
  </si>
  <si>
    <t>17087 IVA 21% REG DE TRANSFISC LEY27743</t>
  </si>
  <si>
    <t>18794 IVA 21% REG DE TRANSFISC LEY27743</t>
  </si>
  <si>
    <t>17317 IVA 21% REG DE TRANSFISC LEY27743</t>
  </si>
  <si>
    <t>16149 IVA 21% REG DE TRANSFISC LEY27743</t>
  </si>
  <si>
    <t>17573 IVA 21% REG DE TRANSFISC LEY27743</t>
  </si>
  <si>
    <t>27713 IVA 21% REG DE TRANSFISC LEY27743</t>
  </si>
  <si>
    <t>27714 IVA 21% REG DE TRANSFISC LEY27743</t>
  </si>
  <si>
    <t>27715 IVA 21% REG DE TRANSFISC LEY27743</t>
  </si>
  <si>
    <t>27716 IVA 21% REG DE TRANSFISC LEY27743</t>
  </si>
  <si>
    <t>27717 IVA 21% REG DE TRANSFISC LEY27743</t>
  </si>
  <si>
    <t>27718 IVA 21% REG DE TRANSFISC LEY27743</t>
  </si>
  <si>
    <t>21156 IVA 21% REG DE TRANSFISC LEY27743</t>
  </si>
  <si>
    <t>21157 IVA 21% REG DE TRANSFISC LEY27743</t>
  </si>
  <si>
    <t>15951 IVA 21% REG DE TRANSFISC LEY27743</t>
  </si>
  <si>
    <t>20262 IVA 21% REG DE TRANSFISC LEY27743</t>
  </si>
  <si>
    <t>19342 IVA 21% REG DE TRANSFISC LEY27743</t>
  </si>
  <si>
    <t>19343 IVA 21% REG DE TRANSFISC LEY27743</t>
  </si>
  <si>
    <t>19344 IVA 21% REG DE TRANSFISC LEY27743</t>
  </si>
  <si>
    <t>19345 IVA 21% REG DE TRANSFISC LEY27743</t>
  </si>
  <si>
    <t>19346 IVA 21% REG DE TRANSFISC LEY27743</t>
  </si>
  <si>
    <t>19347 IVA 21% REG DE TRANSFISC LEY27743</t>
  </si>
  <si>
    <t>17082 IVA 21% REG DE TRANSFISC LEY27743</t>
  </si>
  <si>
    <t>17314 IVA 21% REG DE TRANSFISC LEY27743</t>
  </si>
  <si>
    <t>17315 IVA 21% REG DE TRANSFISC LEY27743</t>
  </si>
  <si>
    <t>17316 IVA 21% REG DE TRANSFISC LEY27743</t>
  </si>
  <si>
    <t>17570 IVA 21% REG DE TRANSFISC LEY27743</t>
  </si>
  <si>
    <t>17571 IVA 21% REG DE TRANSFISC LEY27743</t>
  </si>
  <si>
    <t>17572 IVA 21% REG DE TRANSFISC LEY27743</t>
  </si>
  <si>
    <t>27711 IVA 21% REG DE TRANSFISC LEY27743</t>
  </si>
  <si>
    <t>27712 IVA 21% REG DE TRANSFISC LEY27743</t>
  </si>
  <si>
    <t>21155 IVA 21% REG DE TRANSFISC LEY27743</t>
  </si>
  <si>
    <t>19339 IVA 21% REG DE TRANSFISC LEY27743</t>
  </si>
  <si>
    <t>19340 IVA 21% REG DE TRANSFISC LEY27743</t>
  </si>
  <si>
    <t>19341 IVA 21% REG DE TRANSFISC LEY27743</t>
  </si>
  <si>
    <t>17313 IVA 21% REG DE TRANSFISC LEY27743</t>
  </si>
  <si>
    <t>15949 IVA 21% REG DE TRANSFISC LEY27743</t>
  </si>
  <si>
    <t>15950 IVA 21% REG DE TRANSFISC LEY27743</t>
  </si>
  <si>
    <t>IMPUESTO LEY 25.413 CREDITO 0,6%</t>
  </si>
  <si>
    <t>IMPUESTO LEY 25.413 CREDITO 0,6% CTA ORIG: 195-032021/8 - BASE IMPO. USD 1.730,83</t>
  </si>
  <si>
    <t>IMPUESTO LEY 25.413 CREDITO 0,6% CTA ORIG: 195-032021/8 - BASE IMPO. USD 1.021,73</t>
  </si>
  <si>
    <t>IMPUESTO LEY 25.413 CREDITO 0,6% CTA ORIG: 195-032021/8 - BASE IMPO. USD362,44</t>
  </si>
  <si>
    <t>IMPUESTO LEY 25.413 DEBITO 0,6%</t>
  </si>
  <si>
    <t>IMPUESTO LEY 25.413 DEBITO 0,6% CTA ORIG: 195-032021/8 - BASE IMPO. USD3,31</t>
  </si>
  <si>
    <t>92269608 SUSCRIPCION FONDOS COMUNES INVERS</t>
  </si>
  <si>
    <t>4070031 PAGO CCI 24HS NO GRAVADA INTERBANK A INSTRUMENTAL PASTEUR / VARIOS - VAR / 30626629942</t>
  </si>
  <si>
    <t>80201479 PAGO DE SERVICIOS IMP.AFIP: 3062662994213530522</t>
  </si>
  <si>
    <t>92436678 SUSCRIPCION FONDOS COMUNES INVERS</t>
  </si>
  <si>
    <t>92729874 SUSCRIPCION FONDOS COMUNES INVERS</t>
  </si>
  <si>
    <t>93035495 SUSCRIPCION FONDOS COMUNES INVERS</t>
  </si>
  <si>
    <t>4160284 TRANSFERENCIA REALIZADA A AGROACTIVA SA / VARIOS - VAR / 30707948538</t>
  </si>
  <si>
    <t>91722284 SUSCRIPCION FONDOS COMUNES INVERS</t>
  </si>
  <si>
    <t>3279860 SUSCRIPCION FONDOS COMUNES INVERS INVERSION EN FONDO SUPER AHORRO</t>
  </si>
  <si>
    <t>91915029 SUSCRIPCION FONDOS COMUNES INVERS</t>
  </si>
  <si>
    <t>92119829 SUSCRIPCION FONDOS COMUNES INVERS</t>
  </si>
  <si>
    <t>3172859 SUSCRIPCION FONDOS COMUNES INVERS INVERSION EN FONDO SUPER AHORRO</t>
  </si>
  <si>
    <t>3229707 SUSCRIPCION FONDOS COMUNES INVERS INVERSION EN FONDO SUPER AHORRO</t>
  </si>
  <si>
    <t>92802291 SUSCRIPCION FONDOS COMUNES INVERS</t>
  </si>
  <si>
    <t>4158681 TRANSFERENCIA REALIZADA A MASSINO ALEJANDRO DAMIA / FACTURA - FAC / 30714468347</t>
  </si>
  <si>
    <t>92495112 SUSCRIPCION FONDOS COMUNES INVERS</t>
  </si>
  <si>
    <t>92966989 SUSCRIPCION FONDOS COMUNES INVERS</t>
  </si>
  <si>
    <t>3125321 SUSCRIPCION FONDOS COMUNES INVERS INVERSION EN FONDO SUPER AHORRO</t>
  </si>
  <si>
    <t>4049309 TRANSFERENCIA REALIZADA A / FACTURA - FAC / 30717458687</t>
  </si>
  <si>
    <t>92372592 SUSCRIPCION FONDOS COMUNES INVERS</t>
  </si>
  <si>
    <t>4186489 TRANSFERENCIA REALIZADA A TDC AMEX PESOS / VARIOS - VAR / 30574816870</t>
  </si>
  <si>
    <t>51873699 PAGO DE SERVICIOS IMP.AFIP: 3062662994213530522 - TARJ NRO. 6869</t>
  </si>
  <si>
    <t>92877699 SUSCRIPCION FONDOS COMUNES INVERS</t>
  </si>
  <si>
    <t>4141424 PAGO CCI 24HS NO GRAVADA INTERBANK A INSTRUMENTAL PASTEUR / VARIOS - VAR / 30626629942</t>
  </si>
  <si>
    <t>32276430 PAGO HABERES 2603315072</t>
  </si>
  <si>
    <t>32276434 PAGO HABERES 2603315072</t>
  </si>
  <si>
    <t>32276412 PAGO HABERES 2603315072</t>
  </si>
  <si>
    <t>32276420 PAGO HABERES 2603315072</t>
  </si>
  <si>
    <t>32276426 PAGO HABERES 2603315072</t>
  </si>
  <si>
    <t>32276421 PAGO HABERES 2603315072</t>
  </si>
  <si>
    <t>32276419 PAGO HABERES 2603315072</t>
  </si>
  <si>
    <t>32276407 PAGO HABERES 2603315072</t>
  </si>
  <si>
    <t>32276417 PAGO HABERES 2603315072</t>
  </si>
  <si>
    <t>32276408 PAGO HABERES 2603315072</t>
  </si>
  <si>
    <t>32276423 PAGO HABERES 2603315072</t>
  </si>
  <si>
    <t>32276414 PAGO HABERES 2603315072</t>
  </si>
  <si>
    <t>4096830 TRANSFERENCIA REALIZADA A START IT SAS / FACTURA - FAC / 33717607789</t>
  </si>
  <si>
    <t>4186492 TRANSFERENCIA REALIZADA A CORREO ANDREANI SA / FACTURA - FAC / 33699685459</t>
  </si>
  <si>
    <t>32276415 PAGO HABERES 2603315072</t>
  </si>
  <si>
    <t>32276428 PAGO HABERES 2603315072</t>
  </si>
  <si>
    <t>32276416 PAGO HABERES 2603315072</t>
  </si>
  <si>
    <t>32276406 PAGO HABERES 2603315072</t>
  </si>
  <si>
    <t>32276409 PAGO HABERES 2603315072</t>
  </si>
  <si>
    <t>4223356 TRANSFERENCIA REALIZADA A GAIMBERAN LUCIA EMILIA / FACTURA - FAC / 27319701813</t>
  </si>
  <si>
    <t>32276424 PAGO HABERES 2603315072</t>
  </si>
  <si>
    <t>32276403 PAGO HABERES 2603315072</t>
  </si>
  <si>
    <t>32276413 PAGO HABERES 2603315072</t>
  </si>
  <si>
    <t>32276410 PAGO HABERES 2603315072</t>
  </si>
  <si>
    <t>32276418 PAGO HABERES 2603315072</t>
  </si>
  <si>
    <t>32276431 PAGO HABERES 2603315072</t>
  </si>
  <si>
    <t>32276432 PAGO HABERES 2603315072</t>
  </si>
  <si>
    <t>4250503 TRANSFERENCIA REALIZADA A LEWIN,DAMIAN EZEQUIEL / FACTURA - FAC / 23351613149</t>
  </si>
  <si>
    <t>32276422 PAGO HABERES 2603315072</t>
  </si>
  <si>
    <t>32276411 PAGO HABERES 2603315072</t>
  </si>
  <si>
    <t>32276427 PAGO HABERES 2603315072</t>
  </si>
  <si>
    <t>32276429 PAGO HABERES 2603315072</t>
  </si>
  <si>
    <t>4250505 TRANSFERENCIA REALIZADA A INPACK ALIMENTICIA SA / VARIOS - VAR / 30707082298</t>
  </si>
  <si>
    <t>4298029 TRANSFERENCIA REALIZADA A LETT COMERCIAL SA / VARIOS - VAR / 30716267357</t>
  </si>
  <si>
    <t>32276425 PAGO HABERES 2603315072</t>
  </si>
  <si>
    <t>32276433 PAGO HABERES 2603315072</t>
  </si>
  <si>
    <t>4298163 TRANSFERENCIA REALIZADA A VITALI, AGUSTIN / FACTURA - FAC / 20317527501</t>
  </si>
  <si>
    <t>4079487 TRANSFERENCIA REALIZADA A MASSINO ALEJANDRO DAMIA / FACTURA - FAC / 30714468347</t>
  </si>
  <si>
    <t>32276404 PAGO HABERES 2603315072</t>
  </si>
  <si>
    <t>4186495 TRANSFERENCIA REALIZADA A GAIMBERAN LUCIA EMILIA / FACTURA - FAC / 27319701813</t>
  </si>
  <si>
    <t>4079484 TRANSFERENCIA REALIZADA A AMBROGI PABLO JOSE / FACTURA - FAC / 20298009596</t>
  </si>
  <si>
    <t>14070387 DEBITO TRANSF. ONLINE BANKING EMP A CHRISTIAN HORACIO SERAN / FACTURA - FAC / 20277137373</t>
  </si>
  <si>
    <t>32276435 PAGO HABERES 2603315072</t>
  </si>
  <si>
    <t>4158513 TRANSFERENCIA REALIZADA A CORREO ANDREANI SA / FACTURA - FAC / 33699685459</t>
  </si>
  <si>
    <t>10420316 DEBITO TRANSF. ONLINE BANKING EMP A SABRINA GARCIA / FACTURA - FAC / 27313754966</t>
  </si>
  <si>
    <t>15830273 PAGO DE SERVICIOS SEC CABA: 30626629942</t>
  </si>
  <si>
    <t>13161873 DEBITO TRANSF. ONLINE BANKING EMP A GERARDO DAMIAN FERRERO / FACTURA - FAC / 20225888737</t>
  </si>
  <si>
    <t>20528480 PAGO DE SERVICIOS ARBA WEB: 00830626629942</t>
  </si>
  <si>
    <t>4188549 TRANSFERENCIA REALIZADA A BCO COMAFI REC M.T. $ / VARIOS - VAR / 30604731018</t>
  </si>
  <si>
    <t>4186491 TRANSFERENCIA REALIZADA A MSM TECH / FACTURA - FAC / 30717011666</t>
  </si>
  <si>
    <t>4079488 TRANSFERENCIA REALIZADA A LIPOWER S. A. / FACTURA - FAC / 30717439186</t>
  </si>
  <si>
    <t>4158718 TRANSFERENCIA REALIZADA A VULYCHER NORBERTO / FACTURA - FAC / 20060581119</t>
  </si>
  <si>
    <t>14043786 DEBITO TRANSF. ONLINE BANKING EMP A EDUARDO PERNICE / FACTURA - FAC / 20149882538</t>
  </si>
  <si>
    <t>4096834 TRANSFERENCIA REALIZADA A LA ESTRELLA CUENTA NUEV / VARIOS - VAR / 30620920874</t>
  </si>
  <si>
    <t>4223354 TRANSFERENCIA REALIZADA A CORREO ANDREANI SA / FACTURA - FAC / 33699685459</t>
  </si>
  <si>
    <t>14067980 DEBITO TRANSF. ONLINE BANKING EMP A GERARDO DAMIAN FERRERO / FACTURA - FAC / 20225888737</t>
  </si>
  <si>
    <t>84070871 PAGO DE SERVICIOS HOSP ITALIANO: 952448</t>
  </si>
  <si>
    <t>4141783 TRANSFERENCIA REALIZADA A CLARO ESTEBAN,CANEPA / FACTURA - FAC / 20053908056</t>
  </si>
  <si>
    <t>4079486 TRANSFERENCIA REALIZADA A MSM TECH / FACTURA - FAC / 30717011666</t>
  </si>
  <si>
    <t>4158636 TRANSFERENCIA REALIZADA A LIPOWER S. A. / VARIOS - VAR / 30717439186</t>
  </si>
  <si>
    <t>4223351 TRANSFERENCIA REALIZADA A LIPOWER S. A. / VARIOS - VAR / 30717439186</t>
  </si>
  <si>
    <t>4003017 TRANSFERENCIA REALIZADA A LIPOWER S. A. / VARIOS - VAR / 30717439186</t>
  </si>
  <si>
    <t>4223355 TRANSFERENCIA REALIZADA A ANDREANI LOGISTICA SA / FACTURA - FAC / 30698011145</t>
  </si>
  <si>
    <t>4223353 TRANSFERENCIA REALIZADA A MSM TECH / FACTURA - FAC / 30717011666</t>
  </si>
  <si>
    <t>4096833 TRANSFERENCIA REALIZADA A M I V MANUFACTURA INDUS / FACTURA - FAC / 30503529153</t>
  </si>
  <si>
    <t>4267528 TRANSFERENCIA REALIZADA A SOCIEDAD ARGENTINA / FACTURA - FAC / 30654231326</t>
  </si>
  <si>
    <t>15416864 DEBITO TRANSF. ONLINE BANKING EMP A NANCY NOEMI FRANCO VILL / VARIOS - VAR / 27287732029</t>
  </si>
  <si>
    <t>11588705 DEBITO TRANSF. ONLINE BANKING EMP A NANCY NOEMI FRANCO VILL / VARIOS - VAR / 27287732029</t>
  </si>
  <si>
    <t>4250506 TRANSFERENCIA REALIZADA A DISTRIBUIDORA EJAD SRL / FACTURA - FAC / 30715150359</t>
  </si>
  <si>
    <t>13156537 DEBITO TRANSF. ONLINE BANKING EMP A SOFTLAND ARGENTINA SA / FACTURA - FAC / 30646941136</t>
  </si>
  <si>
    <t>4186493 TRANSFERENCIA REALIZADA A OCA LOG S.A. / FACTURA - FAC / 30717024393</t>
  </si>
  <si>
    <t>4158595 TRANSFERENCIA REALIZADA A EMPRESA DE SEGURIDAD GL / FACTURA - FAC / 30716678322</t>
  </si>
  <si>
    <t>4250501 TRANSFERENCIA REALIZADA A ELEMENTI S A / FACTURA - FAC / 30682619739</t>
  </si>
  <si>
    <t>4188235 TRANSFERENCIA REALIZADA A ARGONTECH SRL / FACTURA - FAC / 30684968218</t>
  </si>
  <si>
    <t>4096831 TRANSFERENCIA REALIZADA A CRUZ DEL SUR / FACTURA - FAC / 30556565798</t>
  </si>
  <si>
    <t>32276405 PAGO HABERES 2603315072</t>
  </si>
  <si>
    <t>4186498 TRANSFERENCIA REALIZADA A OSDEPYM / FACTURA - FAC / 30586661716</t>
  </si>
  <si>
    <t>60874440 PAGO DE SERVICIOS ARBA WEB: 00830626629942 - TARJ NRO. 6869</t>
  </si>
  <si>
    <t>10189180 DEBITO TRANSF. ONLINE BANKING EMP A CHRISTIAN HORACIO SERAN / FACTURA - FAC / 20277137373</t>
  </si>
  <si>
    <t>4250504 TRANSFERENCIA REALIZADA A AGILE SYSTEMS SA / FACTURA - FAC / 30712048685</t>
  </si>
  <si>
    <t>53958455 PAGO DE SERVICIOS FAECYS: 306266299420000</t>
  </si>
  <si>
    <t>4141784 TRANSFERENCIA REALIZADA A D ANGELO JONATHAN N / FACTURA - FAC / 20388868199</t>
  </si>
  <si>
    <t>4223352 TRANSFERENCIA REALIZADA A PRUNUS SRL / FACTURA - FAC / 30708454970</t>
  </si>
  <si>
    <t>4003019 TRANSFERENCIA REALIZADA A PABLODSKY FELIPE BERNAR / FACTURA - FAC / 20044465885</t>
  </si>
  <si>
    <t>4003021 TRANSFERENCIA REALIZADA A ESTUDIO FERNADEZ LACORT / FACTURA - FAC / 30717325563</t>
  </si>
  <si>
    <t>13109577 DEBITO TRANSF. ONLINE BANKING EMP A PARK WORK SRL / FACTURA - FAC / 30715889907</t>
  </si>
  <si>
    <t>4158450 TRANSFERENCIA REALIZADA A OCA LOG S.A. / FACTURA - FAC / 30717024393</t>
  </si>
  <si>
    <t>4096820 TRANSFERENCIA REALIZADA A JOSE RAUL,GOMEZ / FACTURA - FAC / 20925985512</t>
  </si>
  <si>
    <t>14051742 DEBITO TRANSF. ONLINE BANKING EMP A VANATY SRL / FACTURA - FAC / 30708798009</t>
  </si>
  <si>
    <t>4096822 TRANSFERENCIA REALIZADA A LUMEN GLASS SRL / FACTURA - FAC / 30708232439</t>
  </si>
  <si>
    <t>4033552 TRANSFERENCIA REALIZADA A EXPONENCIAR SA / FACTURA - FAC / 33715346309</t>
  </si>
  <si>
    <t>24972775 PAGO DE SERVICIOS INACAP CUOTA: 3062662994200096242</t>
  </si>
  <si>
    <t>10128975 DEBITO TRANSF. ONLINE BANKING EMP A NSS SA / FACTURA - FAC / 30702652975</t>
  </si>
  <si>
    <t>4079483 TRANSFERENCIA REALIZADA A SECURITY HNOS SRL / FACTURA - FAC / 30715337017</t>
  </si>
  <si>
    <t>4096827 TRANSFERENCIA REALIZADA A ALLIANZ ARGENTINA COMPA / FACTURA - FAC / 30500037217</t>
  </si>
  <si>
    <t>4188232 TRANSFERENCIA REALIZADA A LICENCIASONLINE S.A. / FACTURA - FAC / 30710362218</t>
  </si>
  <si>
    <t>4096823 TRANSFERENCIA REALIZADA A OCA LOG S.A. / FACTURA - FAC / 30717024393</t>
  </si>
  <si>
    <t>15416400 DEBITO TRANSF. ONLINE BANKING EMP A NSS SA / FACTURA - FAC / 30702652975</t>
  </si>
  <si>
    <t>4003018 TRANSFERENCIA REALIZADA A ANDREANI LOGISTICA SA / FACTURA - FAC / 30698011145</t>
  </si>
  <si>
    <t>90360018 PAGO DE SERVICIOS VISA: 4937620000162607</t>
  </si>
  <si>
    <t>143018 SNP DEBITO DIRECTO AYSA SA -0000028214</t>
  </si>
  <si>
    <t>4096832 TRANSFERENCIA REALIZADA A ATILIO ETCHELAR SA / FACTURA - FAC / 30688401921</t>
  </si>
  <si>
    <t>32124335 PAGO HABERES 2603105072</t>
  </si>
  <si>
    <t>32124336 PAGO HABERES 2603105072</t>
  </si>
  <si>
    <t>32124340 PAGO HABERES 2603105072</t>
  </si>
  <si>
    <t>32124324 PAGO HABERES 2603105072</t>
  </si>
  <si>
    <t>15432659 DEBITO TRANSF. ONLINE BANKING EMP A VANATY SRL / FACTURA - FAC / 30708798009</t>
  </si>
  <si>
    <t>4250500 TRANSFERENCIA REALIZADA A ENTRE SRL / FACTURA - FAC / 30556408390</t>
  </si>
  <si>
    <t>32124331 PAGO HABERES 2603105072</t>
  </si>
  <si>
    <t>32124337 PAGO HABERES 2603105072</t>
  </si>
  <si>
    <t>4188233 TRANSFERENCIA REALIZADA A ESPINOSA DIEGO LAUREAN / FACTURA - FAC / 23235676389</t>
  </si>
  <si>
    <t>32124338 PAGO HABERES 2603105072</t>
  </si>
  <si>
    <t>32124327 PAGO HABERES 2603105072</t>
  </si>
  <si>
    <t>32124339 PAGO HABERES 2603105072</t>
  </si>
  <si>
    <t>32124342 PAGO HABERES 2603105072</t>
  </si>
  <si>
    <t>32124341 PAGO HABERES 2603105072</t>
  </si>
  <si>
    <t>32124343 PAGO HABERES 2603105072</t>
  </si>
  <si>
    <t>44953237 PAGO DE SERVICIOS ARBA WEB: 00830626629942</t>
  </si>
  <si>
    <t>32124344 PAGO HABERES 2603105072</t>
  </si>
  <si>
    <t>32124328 PAGO HABERES 2603105072</t>
  </si>
  <si>
    <t>10190336 DEBITO TRANSF. ONLINE BANKING EMP A ALEJANDRA ALICIA MENINI / FACTURA - FAC / 27178568413</t>
  </si>
  <si>
    <t>32124330 PAGO HABERES 2603105072</t>
  </si>
  <si>
    <t>32124332 PAGO HABERES 2603105072</t>
  </si>
  <si>
    <t>32124329 PAGO HABERES 2603105072</t>
  </si>
  <si>
    <t>32124334 PAGO HABERES 2603105072</t>
  </si>
  <si>
    <t>32124345 PAGO HABERES 2603105072</t>
  </si>
  <si>
    <t>32124333 PAGO HABERES 2603105072</t>
  </si>
  <si>
    <t>32124346 PAGO HABERES 2603105072</t>
  </si>
  <si>
    <t>4188234 TRANSFERENCIA REALIZADA A FISDEL LIONEL Y FISDEL / FACTURA - FAC / 30698029648</t>
  </si>
  <si>
    <t>4186496 TRANSFERENCIA REALIZADA A ELSERVER SRL / VARIOS - VAR / 30707447504</t>
  </si>
  <si>
    <t>10418989 DEBITO TRANSF. ONLINE BANKING EMP A VANATY SRL / FACTURA - FAC / 30708798009</t>
  </si>
  <si>
    <t>32124325 PAGO HABERES 2603105072</t>
  </si>
  <si>
    <t>4096825 TRANSFERENCIA REALIZADA A ALLIANZ ARGENTINA COMPA / FACTURA - FAC / 30500037217</t>
  </si>
  <si>
    <t>4096829 TRANSFERENCIA REALIZADA A ALLIANZ ARGENTINA COMPA / FACTURA - FAC / 30500037217</t>
  </si>
  <si>
    <t>4096824 TRANSFERENCIA REALIZADA A ALLIANZ ARGENTINA COMPA / FACTURA - FAC / 30500037217</t>
  </si>
  <si>
    <t>4250502 TRANSFERENCIA REALIZADA A NUÀEZ GUSTAVO DAVID / FACTURA - FAC / 20253144956</t>
  </si>
  <si>
    <t>4188231 TRANSFERENCIA REALIZADA A ACUNALUIS ALBERTO / FACTURA - FAC / 20920057552</t>
  </si>
  <si>
    <t>13328548 DEBITO TRANSF. ONLINE BANKING EMP A NANCY NOEMI FRANCO VILL / VARIOS - VAR / 27287732029</t>
  </si>
  <si>
    <t>32124326 PAGO HABERES 2603105072</t>
  </si>
  <si>
    <t>4079482 TRANSFERENCIA REALIZADA A CENTRO MEDICO INTEGR / FACTURA - FAC / 33556018079</t>
  </si>
  <si>
    <t>4079485 TRANSFERENCIA REALIZADA A CORREO ANDREANI SA / FACTURA - FAC / 33699685459</t>
  </si>
  <si>
    <t>15959 PAGO COMERCIOS GETNET NRO.LIQ. 00015959/000000000008581</t>
  </si>
  <si>
    <t>120836 SNP DEBITO DIRECTO ZURICH INT LIFE -2000156664</t>
  </si>
  <si>
    <t>4899 PAGO COMERCIOS GETNET NRO.LIQ. 00004899/000000000008581</t>
  </si>
  <si>
    <t>5515 PAGO COMERCIOS GETNET NRO.LIQ. 00005515/000000000008581</t>
  </si>
  <si>
    <t>779407 TRANSFERENCIA RECIBIDA DE INSTRUMENT PASTEUR / MOV INTERNO - VAR / 30626629942</t>
  </si>
  <si>
    <t>1824118 PAGO A PROVEEDORES RECIBIDO QUANTUM SRL 30708046465 03 1824118</t>
  </si>
  <si>
    <t>624387 TRANSFERENCIA RECIBIDA DE M C FRAGANCIAS SA / 9086 - FAC / 30708403020</t>
  </si>
  <si>
    <t>168230 TRANSFERENCIA RECIBIDA DE MEDIZIN S.A.S / - VAR / 30716914816</t>
  </si>
  <si>
    <t>43850938 TRANSF RECIBIDA CVU MISMO TITULAR DE INSTRUMENTAL PASTEUR S R / MERCADO PAGO /30626629942</t>
  </si>
  <si>
    <t>12892150 TRANSF RECIBIDA CVU MISMO TITULAR DE INSTRUMENTAL PASTEUR S R / MERCADO PAGO /30626629942</t>
  </si>
  <si>
    <t>DEPOSITO ECHEQ CANJE INTERNO 24HS</t>
  </si>
  <si>
    <t>DEPOSITO ECHEQ OTRO BANCO 48HS</t>
  </si>
  <si>
    <t>DEPOSITO E-CHEQ 48HS PRESENCIA BSR</t>
  </si>
  <si>
    <t>3893 PAGO COMERCIOS GETNET NRO.LIQ. 00003893/000000000008581</t>
  </si>
  <si>
    <t>3377951 PAGO A PROVEEDORES RECIBIDO BIOINGEPRO SRL 30709715980 03 3377951</t>
  </si>
  <si>
    <t>6841 PAGO COMERCIOS GETNET NRO.LIQ. 00006841/000000000008581</t>
  </si>
  <si>
    <t>3417489 PAGO A PROVEEDORES RECIBIDO UNIVERSIDAD NACIONAL DEL CENT 30586761419 03 3417489</t>
  </si>
  <si>
    <t>16218963 TRANSFERENCIA RECIBIDA DE MARIA MARTINA DE BATTI / - VAR / 27305645058</t>
  </si>
  <si>
    <t>822464 TRANSFERENCIA RECIBIDA DE NICOLAS ERRASTI MARTIN / - VAR / 20315308721</t>
  </si>
  <si>
    <t>13473842 CREDITO TRANSF ONLINE BANKING EMP DE RICARDO BUELONI Y CIA / FACTURA - FAC / 30522947632</t>
  </si>
  <si>
    <t>13538515 CREDITO TRANSF ONLINE BANKING EMP DE FARMACIA COLON SRL / FACTURA - FAC / 30532610989</t>
  </si>
  <si>
    <t>26139615 TRANSF RECIBIDA CVU MISMO TITULAR DE INSTRUMENTAL PASTEUR S R / MERCADO PAGO /30626629942</t>
  </si>
  <si>
    <t>39202651 PAGO A PROVEEDORES 260303007SOC BENEF HOSP ITALIA CUIT 30545894528</t>
  </si>
  <si>
    <t>4883 PAGO COMERCIOS GETNET NRO.LIQ. 00004883/000000000008581</t>
  </si>
  <si>
    <t>5477 PAGO COMERCIOS GETNET NRO.LIQ. 00005477/000000000008581</t>
  </si>
  <si>
    <t>5226842 TRANSFERENCIA CTAS MOBILE BANKING DE CARLA MARIA ESQUIVEL A / VARIOS - VAR / 23246146004</t>
  </si>
  <si>
    <t>82035922 TRANSFERENCIA RECIBIDA DE BADANO/WILMER ESTANISL / 0047089291 - VAR / 23470892919</t>
  </si>
  <si>
    <t>4394 PAGO COMERCIOS GETNET NRO.LIQ. 00004394/000000000008581</t>
  </si>
  <si>
    <t>5429 PAGO COMERCIOS GETNET NRO.LIQ. 00005429/000000000008581</t>
  </si>
  <si>
    <t>809290 TRANSFERENCIA RECIBIDA DE TRANSQUIMICA MARINA / PR 13220 - FAC / 30641818972</t>
  </si>
  <si>
    <t>54399381 TRANSFERENCIA RECIBIDA DE SANDRA EDITH ZULIAN / - VAR / 27232703240</t>
  </si>
  <si>
    <t>17289654 TRANSF RECIBIDA CVU MISMO TITULAR DE INSTRUMENTAL PASTEUR S R / MERCADO PAGO /30626629942</t>
  </si>
  <si>
    <t>5458761 PAGO A PROVEEDORES RECIBIDO SGS ARGENTINA SA 30547110427 03 5458761</t>
  </si>
  <si>
    <t>16198880 CREDITO TRANSF ONLINE BANKING EMP DE CHEMIT ARGENTINA SRL / VARIOS - VAR / 30707509356</t>
  </si>
  <si>
    <t>772462 TRANSFERENCIA RECIBIDA DE BORRELL, JIMENA AYL N / VARIOS - VAR / 27458873521</t>
  </si>
  <si>
    <t>16266383 RESCATE FONDOS COMUNES INVERSION</t>
  </si>
  <si>
    <t>3805 PAGO COMERCIOS GETNET NRO.LIQ. 00003805/000000000008581</t>
  </si>
  <si>
    <t>215438 PAGO A PROVEEDORES RECIBIDO LOS VASCOS SRL 30708935324 03 0215438</t>
  </si>
  <si>
    <t>95634145 TRANSF RECIBIDA CVU DIF TITULAR DE NORMA NOEMI MICELI / UALA /27164133228</t>
  </si>
  <si>
    <t>5536 PAGO COMERCIOS GETNET NRO.LIQ. 00005536/000000000008581</t>
  </si>
  <si>
    <t>571113 TRANSFERENCIA RECIBIDA DE CIGNOLI, AGUSTINA / VARIOS - VAR / 27448584653</t>
  </si>
  <si>
    <t>91600279 TRANSF RECIBIDA CVU DIF TITULAR DE SOFIA BELLO / PREX /27461493667</t>
  </si>
  <si>
    <t>229433 PAGO A PROVEEDORES RECIBIDO FRANCISCO H. WALZ S.C.A. 30544210803 03 0229433</t>
  </si>
  <si>
    <t>57148 TRANSFERENCIA RECIBIDA DE ARIAS,ANALIA NATALI / TRANSF - VAR / 27323476905</t>
  </si>
  <si>
    <t>67869746 TRANSFERENCIA RECIBIDA DE VIOLETA CARDOZO / - VAR / 27462112535</t>
  </si>
  <si>
    <t>3431718 PAGO A PROVEEDORES RECIBIDO PUNA BIO S A 33716924969 03 3431718</t>
  </si>
  <si>
    <t>80154125 TRANSFERENCIA RECIBIDA DE AZUL/A BULACIO / - VAR / 27445948727</t>
  </si>
  <si>
    <t>17016107 CREDITO TRANSF ONLINE BANKING EMP DE INGREDIENTS SOLUTIONS / VARIOS - VAR / 30708432071</t>
  </si>
  <si>
    <t>83710867 TRANSFERENCIA RECIBIDA DE PACHECO/GERONIMO / - VAR / 20250601167</t>
  </si>
  <si>
    <t>54594809 TRANSFERENCIA RECIBIDA DE SOFIA CAROLINA ARZUZA / - VAR / 27961822357</t>
  </si>
  <si>
    <t>17775 TRANSF MINORISTA RECIBIDA SNP MICROSULES ARGE 30519887335 FAC</t>
  </si>
  <si>
    <t>713811 TRANSFERENCIA RECIBIDA DE LEDESMA ANA SUYAY / 7626 - VAR / 27467497389</t>
  </si>
  <si>
    <t>10409545 TRANSFERENCIA CTAS MOBILE BANKING DE CLAUDIA DE LUCA / VARIOS - VAR / 23252269584</t>
  </si>
  <si>
    <t>4193 PAGO COMERCIOS GETNET NRO.LIQ. 00004193/000000000008581</t>
  </si>
  <si>
    <t>6140 PAGO COMERCIOS GETNET NRO.LIQ. 00006140/000000000008581</t>
  </si>
  <si>
    <t>1819671 PAGO A PROVEEDORES RECIBIDO CNC DONELAB SRL 30715368850 03 1819671</t>
  </si>
  <si>
    <t>305279 TRANSFERENCIA RECIBIDA DE MARTINEZ,ANA CLARA / TRANSF - VAR / 23455252024</t>
  </si>
  <si>
    <t>3056140 PAGO A PROVEEDORES RECIBIDO ENERGIA RENOVABLE SA 33711594499 03 3056140</t>
  </si>
  <si>
    <t>16006899 CREDITO TRANSF ONLINE BANKING EMP DE APOLO BIOTECH SAS / - FAC / 30717631133</t>
  </si>
  <si>
    <t>43772865 TRANSF RECIBIDA CVU DIF TITULAR DE ALISON JOAQUINA MENDOZA N/ UALA /27944736919</t>
  </si>
  <si>
    <t>1919527 TRANSFERENCIA CTAS MOBILE BANKING DE ROXANA NATALIA POLACK / VARIOS - VAR / 27296849052</t>
  </si>
  <si>
    <t>16320032 RESCATE FONDOS COMUNES INVERSION</t>
  </si>
  <si>
    <t>CFU DEPECHEQ VAL COBRO SIN PRESENC</t>
  </si>
  <si>
    <t>3770 PAGO COMERCIOS GETNET NRO.LIQ. 00003770/000000000008581</t>
  </si>
  <si>
    <t>8466695 CREDITO TRANSF ONLINE BANKING EMP DE CHEMIT ARGENTINA SRL / VARIOS - VAR / 30707509356</t>
  </si>
  <si>
    <t>7097 PAGO COMERCIOS GETNET NRO.LIQ. 00007097/000000000008581</t>
  </si>
  <si>
    <t>859991 TRANSFERENCIA RECIBIDA DE UNIV.NAC.DE S.LUIS / OP 915 - VAR / 30577357532</t>
  </si>
  <si>
    <t>11160066 CREDITO TRANSF ONLINE BANKING EMP DE RICARDO BUELONI Y CIA / FACTURA - FAC / 30522947632</t>
  </si>
  <si>
    <t>72750919 TRANSFERENCIA POR SISTEMA MEP 30680790805 1980001730000001185901 GC2</t>
  </si>
  <si>
    <t>46388885 TRANSF RECIBIDA CVU MISMO TITULAR DE INSTRUMENTAL PASTEUR S R / MERCADO PAGO /30626629942</t>
  </si>
  <si>
    <t>27523439 TRANSF RECIBIDA CVU MISMO TITULAR DE INSTRUMENTAL PASTEUR S R / MERCADO PAGO /30626629942</t>
  </si>
  <si>
    <t>248566 PAGO A PROVEEDORES RECIBIDO MARPAMA S.A. 30699660376 03 0248566</t>
  </si>
  <si>
    <t>81587331 TRANSF RECIBIDA CVU DIF TITULAR DE PABLO MARTIN BLASCO / PERSONAL PAY /20332361504</t>
  </si>
  <si>
    <t>49337679 TRANSFERENCIA RECIBIDA DE FUNDACION DE INVESTIGA / H1 - FAC / 30652097525</t>
  </si>
  <si>
    <t>79443719 TRANSF RECIBIDA CVU DIF TITULAR DE MARIO KINDERKNECHT / PREX /20346311496</t>
  </si>
  <si>
    <t>21863788 TRANSF RECIBIDA CVU DIF TITULAR DE CARLOS HERNAN GAUNA / LEMON /20406421393</t>
  </si>
  <si>
    <t>16336736 RESCATE FONDOS COMUNES INVERSION</t>
  </si>
  <si>
    <t>4551 PAGO COMERCIOS GETNET NRO.LIQ. 00004551/000000000008581</t>
  </si>
  <si>
    <t>5663 PAGO COMERCIOS GETNET NRO.LIQ. 00005663/000000000008581</t>
  </si>
  <si>
    <t>3223148 PAGO A PROVEEDORES RECIBIDO REDILAB SA 30715717723 03 3223148</t>
  </si>
  <si>
    <t>73958163 TRANSFERENCIA RECIBIDA DE N/A ZAPATA PORTILLO / - VAR / 27447601716</t>
  </si>
  <si>
    <t>211824 PAGO A PROVEEDORES RECIBIDO NOVECO SRL 30717310000 03 0211824</t>
  </si>
  <si>
    <t>105270 PAGO A PROVEEDORES RECIBIDO INTERNATIONAL ARGENETICS LAB 30717445917 03 0105270</t>
  </si>
  <si>
    <t>14271300 CREDITO TRANSF ONLINE BANKING EMP DE GETNET ARGENTINA SAU / - VAR / 30716821516</t>
  </si>
  <si>
    <t>550718 TRANSFERENCIA RECIBIDA DE MONZON, SOFIA LIHUEN / COMPRA WEB - VAR / 27459947979</t>
  </si>
  <si>
    <t>6284049 PAGO A PROVEEDORES RECIBIDO UNIVERSIDAD BS AS F. DE AGRON 30546666561 03 6284049</t>
  </si>
  <si>
    <t>3290479 PAGO A PROVEEDORES RECIBIDO SURPLAST SA 33634683319 03 3290479</t>
  </si>
  <si>
    <t>71196757 TRANSFERENCIA RECIBIDA DE FUNDACION SOL PUNTAN O / H36871 - VAR / 30711394105</t>
  </si>
  <si>
    <t>4529 PAGO COMERCIOS GETNET NRO.LIQ. 00004529/000000000008581</t>
  </si>
  <si>
    <t>5627 PAGO COMERCIOS GETNET NRO.LIQ. 00005627/000000000008581</t>
  </si>
  <si>
    <t>920433 TRANSFERENCIA RECIBIDA DE UNIV.NAC.DE S.LUIS / OP 954 - VAR / 30577357532</t>
  </si>
  <si>
    <t>5952323 TRANSF RECIBIDA CVU MISMO TITULAR DE INSTRUMENTAL PASTEUR S R / MERCADO PAGO /30626629942</t>
  </si>
  <si>
    <t>94114 TRANSFERENCIA RECIBIDA DE VERA,MAR A AGUSTINA / TRANSF - VAR / 27373292090</t>
  </si>
  <si>
    <t>127607 TRANSFERENCIA RECIBIDA DE MUNICIPALIDAD DE SALTO / VAR TRANS - VAR / 30999033764</t>
  </si>
  <si>
    <t>22932049 TRANSFERENCIA RECIBIDA DE ROMERO/ANDREA MICHE / 0045503562 - VAR / 27455035622</t>
  </si>
  <si>
    <t>3339062 PAGO A PROVEEDORES RECIBIDO FUNDACION INSTITUTO UNIVERSIT 30702166779 03 3339062</t>
  </si>
  <si>
    <t>78148399 TRANSFERENCIA RECIBIDA DE CAMPORA/MARCELA VICTOR / INST PASTEUR - VAR / 27270710285</t>
  </si>
  <si>
    <t>6415261 PAGO A PROVEEDORES RECIBIDO FUNDACION PABLO CASSARA 33626615959 03 6415261</t>
  </si>
  <si>
    <t>13570038 CREDITO TRANSF ONLINE BANKING EMP DE ASOC CIV LA EDUCACION / FACTURA - FAC / 30528818400</t>
  </si>
  <si>
    <t>14513365 CREDITO TRANSF ONLINE BANKING EMP DE LILIS S.A. / FACTURA - FAC / 30624317277</t>
  </si>
  <si>
    <t>6513639 PAGO A PROVEEDORES RECIBIDO UNIVERSIDAD JUAN AGUSTIN MAZA 30595517199 03 6513639</t>
  </si>
  <si>
    <t>3405959 PAGO A PROVEEDORES RECIBIDO LABORATORIOS BIOFARMA SA 30690280988 03 3405959</t>
  </si>
  <si>
    <t>3483 PAGO COMERCIOS GETNET NRO.LIQ. 00003483/000000000008581</t>
  </si>
  <si>
    <t>39721963 PAGO A PROVEEDORES 260312078SMURFIT KAPPA DE ARGE CUIT 30663418579</t>
  </si>
  <si>
    <t>5554 PAGO COMERCIOS GETNET NRO.LIQ. 00005554/000000000008581</t>
  </si>
  <si>
    <t>1104615 PAGO A PROVEEDORES RECIBIDO UNIVERSIDAD NACIONAL DE CUYO 30546669463 03 1104615</t>
  </si>
  <si>
    <t>1106339 PAGO A PROVEEDORES RECIBIDO UNIVERSIDAD NACIONAL DE CUYO 30546669463 03 1106339</t>
  </si>
  <si>
    <t>227623 PAGO A PROVEEDORES RECIBIDO ASOC. COOP. FACULTAD DE CIENC 30629539731 03 0227623</t>
  </si>
  <si>
    <t>764664 TRANSFERENCIA RECIBIDA DE MOREYRA, FERNANDO ANDR / VARIOS - VAR / 20248243725</t>
  </si>
  <si>
    <t>3492116 PAGO A PROVEEDORES RECIBIDO UNIVERSIDAD DE BUENOS AIRES 30546666561 03 3492116</t>
  </si>
  <si>
    <t>139864 TRANSFERENCIA RECIBIDA DE MEDIZIN S.A.S / - FAC / 30716914816</t>
  </si>
  <si>
    <t>6696388 PAGO A PROVEEDORES RECIBIDO FUND FAVALORO P L DOC E INV M 33559768869 03 6696388</t>
  </si>
  <si>
    <t>397985 TRANSFERENCIA RECIBIDA DE SEGOVIA, SAMIRA AGUSTI / VARIOS - VAR / 27459844487</t>
  </si>
  <si>
    <t>1155638 TRANSF RECIBIDA CVU MISMO TITULAR DE INSTRUMENTAL PASTEUR S R / MERCADO PAGO /30626629942</t>
  </si>
  <si>
    <t>3998 PAGO COMERCIOS GETNET NRO.LIQ. 00003998/000000000008581</t>
  </si>
  <si>
    <t>6172 PAGO COMERCIOS GETNET NRO.LIQ. 00006172/000000000008581</t>
  </si>
  <si>
    <t>67401153 TRANSFERENCIA RECIBIDA DE CRIADO/MARIA VICTORIA / 0026057612 - VAR / 27260576122</t>
  </si>
  <si>
    <t>254675 TRANSFERENCIA RECIBIDA DE MEDIZIN S.A.S / - FAC / 30716914816</t>
  </si>
  <si>
    <t>242972 PAGO A PROVEEDORES RECIBIDO JOSE FORTUNATO LEVY 20103771367 03 0242972</t>
  </si>
  <si>
    <t>76275112 TRANSFERENCIA RECIBIDA DE ZOE BERENICE VINAY GUA / - VAR / 27468581030</t>
  </si>
  <si>
    <t>2907 PAGO COMERCIOS GETNET NRO.LIQ. 00002907/000000000008581</t>
  </si>
  <si>
    <t>7075 PAGO COMERCIOS GETNET NRO.LIQ. 00007075/000000000008581</t>
  </si>
  <si>
    <t>290714 TRANSFERENCIA RECIBIDA DE INSTRUMENTAL PASTEUR S / VAR MOV INTE - VAR / 30626629942</t>
  </si>
  <si>
    <t>74630497 TRANSFERENCIA RECIBIDA DE RUMI/MARIA VALERIA / 0022200665 - FAC / 27222006657</t>
  </si>
  <si>
    <t>327470 TRANSFERENCIA RECIBIDA DE BRAYOTTA MARIA FERNAND / REF - VAR / 27383187228</t>
  </si>
  <si>
    <t>279359 TRANSFERENCIA RECIBIDA DE QUIROGA LOHAIZA,CLAUDI / TRANSF - VAR / 23306132849</t>
  </si>
  <si>
    <t>1120 TRANSFERENCIA RECIBIDA DE MONTIEL,RUBEN DARIO / RMONTIEL - VAR / 20324244329</t>
  </si>
  <si>
    <t>906557 TRANSFERENCIA RECIBIDA DE INST SALESIANA INST PI / VARIOS - VAR / 30610211638</t>
  </si>
  <si>
    <t>3606 PAGO COMERCIOS GETNET NRO.LIQ. 00003606/000000000008581</t>
  </si>
  <si>
    <t>5095 PAGO COMERCIOS GETNET NRO.LIQ. 00005095/000000000008581</t>
  </si>
  <si>
    <t>84793453 TRANSFERENCIA RECIBIDA DE BELLANDI/GRACIELA C / PASTEUR - FAC / 27126307050</t>
  </si>
  <si>
    <t>1104668 PAGO A PROVEEDORES RECIBIDO UNIVERSIDAD GRAL. SAN MARTIN 30662473916 03 1104668</t>
  </si>
  <si>
    <t>14335958 CREDITO TRANSF ONLINE BANKING EMP DE CHEMIT ARGENTINA SRL / VARIOS - VAR / 30707509356</t>
  </si>
  <si>
    <t>339563 TRANSFERENCIA RECIBIDA DE LAB S JOSE DIAG Y TRAT / - HON / 30693212347</t>
  </si>
  <si>
    <t>14166 PAGO A PROVEEDORES RECIBIDO ALIMENTOS MAGRO 30707731601 T10 00001044912</t>
  </si>
  <si>
    <t>1652 VALOR AL COBRO COMP ELECT PROP LOC</t>
  </si>
  <si>
    <t>5380 PAGO COMERCIOS GETNET NRO.LIQ. 00005380/000000000008581</t>
  </si>
  <si>
    <t>213874 PAGO A PROVEEDORES RECIBIDO FUNDACION DEL INST BIOLOGIA M 30710494459 03 0213874</t>
  </si>
  <si>
    <t>8399701 TRANSFERENCIA CTAS MOBILE BANKING DE DIANA CAROLINA BLOSTEI / VARIOS - VAR / 27262157224</t>
  </si>
  <si>
    <t>96060718 TRANSF RECIBIDA CVU DIF TITULAR DE LACFARM SRL / MERCADO PAGO /30709327247</t>
  </si>
  <si>
    <t>294545 PAGO A PROVEEDORES RECIBIDO LEVY 20103771367 03 0294545</t>
  </si>
  <si>
    <t>3405108 TRANSFERENCIA PAGOS A TERCEROS UNIVERSIDAD NACIONAL DE QUILM 30642137251 63 3405108</t>
  </si>
  <si>
    <t>3812 PAGO COMERCIOS GETNET NRO.LIQ. 00003812/000000000008581</t>
  </si>
  <si>
    <t>3153016 TRANSFERENCIA RECIBIDA DE LACFARM SRL / - VAR / 30709327247</t>
  </si>
  <si>
    <t>5455 PAGO COMERCIOS GETNET NRO.LIQ. 00005455/000000000008581</t>
  </si>
  <si>
    <t>3455762 PAGO A PROVEEDORES RECIBIDO LABORATORIO MANTEL SA 30559310308 03 3455762</t>
  </si>
  <si>
    <t>46588356 TRANSF RECIBIDA CVU MISMO TITULAR DE INSTRUMENTAL PASTEUR S R / MERCADO PAGO /30626629942</t>
  </si>
  <si>
    <t>23050072 TRANSF RECIBIDA CVU DIF TITULAR DE PAMELA AYMARA CARABALLO / MERCADO PAGO /23329468534</t>
  </si>
  <si>
    <t>46770456 TRANSFERENCIA RECIBIDA DE DRUILLE/MAGDALENA / 0029417568 - VAR / 27294175682</t>
  </si>
  <si>
    <t>611511 TRANSFERENCIA RECIBIDA DE GLISONI,ROMINA JULIETA / TRANSF - VAR / 27283693592</t>
  </si>
  <si>
    <t>896899 TRANSFERENCIA RECIBIDA DE GENTILE FERNANDO MAN / - FAC / 20121057205</t>
  </si>
  <si>
    <t>9435 PAGO A PROVEEDORES RECIBIDO FUNDACION UNIVE 30689902002 PAG O A PROVEED</t>
  </si>
  <si>
    <t>9436 PAGO A PROVEEDORES RECIBIDO UNIV NAC LIT AD 30546670550 T10 00340021947</t>
  </si>
  <si>
    <t>472316 TRANSFERENCIA RECIBIDA DE JULIVER SA / FAC FAC 6929 - FAC / 30593368935</t>
  </si>
  <si>
    <t>52000661 TRANSFERENCIA RECIBIDA DE SIRES/JORGE IGNACIO / 0027855514 - VAR / 20278555144</t>
  </si>
  <si>
    <t>15305802 TRANSFERENCIA CTAS MOBILE BANKING DE LUIS AUGUSTO MARTIN / VARIOS - VAR / 20357220131</t>
  </si>
  <si>
    <t>76544329 TRANSF RECIBIDA CVU MISMO TITULAR DE INSTRUMENTAL PASTEUR S R / MERCADO PAGO /30626629942</t>
  </si>
  <si>
    <t>9369062 CREDITO TRANSF ONLINE BANKING EMP DE ILUMINARTE SRL / FACTURA - FAC / 30707986324</t>
  </si>
  <si>
    <t>238232 TRANSFERENCIA RECIBIDA DE ASOC COOPE OTTO KRAUSE / - FAC / 30649264895</t>
  </si>
  <si>
    <t>556951 TRANSFERENCIA RECIBIDA DE INSTRUMENTAL PASTEUR S / VAR MOV INTE - VAR / 30626629942</t>
  </si>
  <si>
    <t>575359 TRANSFERENCIA RECIBIDA DE FUNDACIONROS-CYTEC / 62 PICT 2020 - FAC / 30708406046</t>
  </si>
  <si>
    <t>48600054 TRANSFERENCIA RECIBIDA DE BRUNE/DESCALZI IGOR / - VAR / 20921516925</t>
  </si>
  <si>
    <t>40011032 TRANSFERENCIA RECIBIDA DE CAMILA LOBAIZA / - VAR / 27441346919</t>
  </si>
  <si>
    <t>7242 PAGO A PROVEEDORES RECIBIDO FUNDACION UNIVE 30689902002 PAG O A PROVEED</t>
  </si>
  <si>
    <t>7243 PAGO A PROVEEDORES RECIBIDO UNIV NAC LIT AD 30546670550 T10 00340021947</t>
  </si>
  <si>
    <t>6395 PAGO COMERCIOS GETNET NRO.LIQ. 00006395/000000000008581</t>
  </si>
  <si>
    <t>3159154 PAGO A PROVEEDORES RECIBIDO GRAN MANDISOVI SA 30715635123 03 3159154</t>
  </si>
  <si>
    <t>7378 PAGO COMERCIOS GETNET NRO.LIQ. 00007378/000000000008581</t>
  </si>
  <si>
    <t>1805396 TRANSFERENCIA PAGOS A TERCEROS CUENCA S A 30709287792 63 1805396</t>
  </si>
  <si>
    <t>289203 PAGO A PROVEEDORES RECIBIDO AMFORTIS SA 30697577838 03 0289203</t>
  </si>
  <si>
    <t>573214 TRANSFERENCIA RECIBIDA DE NANOX RELEASE TECHNOL / 69287 - FAC / 30714324809</t>
  </si>
  <si>
    <t>304752 PAGO A PROVEEDORES RECIBIDO JOSE FORTUNATO LEVY 20103771367 03 0304752</t>
  </si>
  <si>
    <t>61169556 TRANSF RECIBIDA CVU MISMO TITULAR DE INSTRUMENTAL PASTEUR S R / MERCADO PAGO /30626629942</t>
  </si>
  <si>
    <t>68404149 TRANSF RECIBIDA CVU DIF TITULAR DE CAMILO JEREMIAS RODRIGUEZ/ PERSONAL PAY /20445885763</t>
  </si>
  <si>
    <t>40151749 PAGO A PROVEEDORES 260326007SIDUS SA CUIT 30501317019</t>
  </si>
  <si>
    <t>5409 PAGO COMERCIOS GETNET NRO.LIQ. 00005409/000000000008581</t>
  </si>
  <si>
    <t>50421951 TRANSFERENCIA RECIBIDA DE TRIPODI/VALERIA PAULA / 0020200391 - VAR / 27202003910</t>
  </si>
  <si>
    <t>195110 TRANSFERENCIA RECIBIDA DE FLORES, PAOLA LORENA / MICROSC TIR - VAR / 23292996314</t>
  </si>
  <si>
    <t>244110 PAGO A PROVEEDORES RECIBIDO WIENER LABORATORIOS 30522228210 03 0244110</t>
  </si>
  <si>
    <t>3336696 PAGO A PROVEEDORES RECIBIDO HOLLIDAY SCOTT SA 30539235180 03 3336696</t>
  </si>
  <si>
    <t>98275505 TRANSFERENCIA RECIBIDA DE BAIER, CARLOS / - VAR / 20259905932</t>
  </si>
  <si>
    <t>57897481 TRANSFERENCIA RECIBIDA DE JONAS ARIEL ARGUELLO M / - VAR / 20943137073</t>
  </si>
  <si>
    <t>76855249 TRANSFERENCIA RECIBIDA DE AGUIRRE GONZALO EZEQUI / 0035391831 - VAR / 20353918312</t>
  </si>
  <si>
    <t>12282 TRANSF MINORISTA RECIBIDA SNP CHACRA EXPERIME 33509195639 VAR 11700030940</t>
  </si>
  <si>
    <t>31375922 TRANSFERENCIA RECIBIDA DE BOADO/LORENA ANALIA / - FAC / 24267355890</t>
  </si>
  <si>
    <t>4811 PAGO COMERCIOS GETNET NRO.LIQ. 00004811/000000000008581</t>
  </si>
  <si>
    <t>204142 PAGO A PROVEEDORES RECIBIDO FRANCISCO H. WALZ S.C.A. 30544210803 03 0204142</t>
  </si>
  <si>
    <t>5331 PAGO COMERCIOS GETNET NRO.LIQ. 00005331/000000000008581</t>
  </si>
  <si>
    <t>1110035 PAGO A PROVEEDORES RECIBIDO UBATEC S.A.-ANPCYT 30644259486 03 1110035</t>
  </si>
  <si>
    <t>733248 TRANSFERENCIA RECIBIDA DE SILCOLOR SA / - FAC / 30608178917</t>
  </si>
  <si>
    <t>9734379 TRANSF RECIBIDA CVU DIF TITULAR DE BEATRIZ MONICA MEIZOSO / MERCADO PAGO /27109663250</t>
  </si>
  <si>
    <t>25003155 TRANSF RECIBIDA CVU MISMO TITULAR DE INSTRUMENTAL PASTEUR S R / MERCADO PAGO /30626629942</t>
  </si>
  <si>
    <t>735655 TRANSFERENCIA RECIBIDA DE INSTRUMENTAL PASTEUR S / VAR MOV INTE - VAR / 30626629942</t>
  </si>
  <si>
    <t>3656350 TRANSF RECIBIDA CVU MISMO TITULAR DE INSTRUMENTAL PASTEUR S R / MERCADO PAGO /30626629942</t>
  </si>
  <si>
    <t>15108339 CREDITO TRANSF ONLINE BANKING EMP DE LACFARM SRL / VARIOS - VAR / 30709327247</t>
  </si>
  <si>
    <t>244244 PAGO A PROVEEDORES RECIBIDO INSTITUTO DE FISIOLOGIA Y BIO 30714547719 03 0244244</t>
  </si>
  <si>
    <t>3979 PAGO COMERCIOS GETNET NRO.LIQ. 00003979/000000000008581</t>
  </si>
  <si>
    <t>6588 PAGO COMERCIOS GETNET NRO.LIQ. 00006588/000000000008581</t>
  </si>
  <si>
    <t>3339069 TRANSF RECIBIDA CVU MISMO TITULAR DE INSTRUMENTAL PASTEUR S R / MERCADO PAGO /30626629942</t>
  </si>
  <si>
    <t>1109629 PAGO A PROVEEDORES RECIBIDO COLEGIO SAN JOSE-INST.SAGRADA 30545542494 03 1109629</t>
  </si>
  <si>
    <t>29345802 TRANSFERENCIA RECIBIDA DE MADARIAGA/JAVIER / 0029191366 - VAR / 20291913661</t>
  </si>
  <si>
    <t>3078355 PAGO A PROVEEDORES RECIBIDO YAWAR SA 30718189221 03 3078355</t>
  </si>
  <si>
    <t>3087006 PAGO A PROVEEDORES RECIBIDO ANALEN S R L 30663024120 03 3087006</t>
  </si>
  <si>
    <t>8689344 PAGO A PROVEEDORES RECIBIDO SYNTEX S.A. 30501282444 03 8689344</t>
  </si>
  <si>
    <t>311012 PAGO A PROVEEDORES RECIBIDO JOSE FORTUNATO LEVY 20103771367 03 0311012</t>
  </si>
  <si>
    <t>22955755 TRANSF RECIBIDA CVU MISMO TITULAR DE INSTRUMENTAL PASTEUR S R / MERCADO PAGO /30626629942</t>
  </si>
  <si>
    <t>16576946 RESCATE FONDOS COMUNES INVERSION</t>
  </si>
  <si>
    <t>13517922 PAGO TARJETA DE CREDITO VISA DEB. AUTOMATICO 02/03/2026 PART 01313517922</t>
  </si>
  <si>
    <t>PERCEPCION INGRESOS BRUTOS CABA</t>
  </si>
  <si>
    <t>ADELANTO IIBB TUC LETRA H RESP:30626629942 / 0,12% SOBRE $102.382.522,92</t>
  </si>
  <si>
    <t>ADELANTO IIBB TUC LETRA H RESP:30626629942 / 0,12% SOBRE $18.908.580,54</t>
  </si>
  <si>
    <t>ADELANTO IIBB TUC LETRA H RESP:30626629942 / 0,12% SOBRE $17.084.325,42</t>
  </si>
  <si>
    <t>ADELANTO IIBB TUC LETRA H RESP:30626629942 / 0,12% SOBRE $16.275.029,84</t>
  </si>
  <si>
    <t>ADELANTO IIBB TUC LETRA H RESP:30626629942 / 0,12% SOBRE $8.186.364,49</t>
  </si>
  <si>
    <t>ADELANTO IIBB TUC LETRA H RESP:30626629942 / 0,12% SOBRE $6.798.422,97</t>
  </si>
  <si>
    <t>ADELANTO IIBB TUC LETRA H RESP:30626629942 / 0,12% SOBRE $6.615.566,98</t>
  </si>
  <si>
    <t>ADELANTO IIBB TUC LETRA H RESP:30626629942 / 0,12% SOBRE $4.795.587,52</t>
  </si>
  <si>
    <t>ADELANTO IIBB TUC LETRA H RESP:30626629942 / 0,12% SOBRE $4.319.912,70</t>
  </si>
  <si>
    <t>ADELANTO IIBB TUC LETRA H RESP:30626629942 / 0,12% SOBRE $3.841.444,80</t>
  </si>
  <si>
    <t>ADELANTO IIBB TUC LETRA H RESP:30626629942 / 0,12% SOBRE $3.411.073,34</t>
  </si>
  <si>
    <t>ADELANTO IIBB TUC LETRA H RESP:30626629942 / 0,12% SOBRE $3.057.345,41</t>
  </si>
  <si>
    <t>ADELANTO IIBB TUC LETRA H RESP:30626629942 / 0,12% SOBRE $2.807.118,22</t>
  </si>
  <si>
    <t>ADELANTO IIBB TUC LETRA H RESP:30626629942 / 0,12% SOBRE $2.725.127,14</t>
  </si>
  <si>
    <t>ADELANTO IIBB TUC LETRA H RESP:30626629942 / 0,12% SOBRE $2.665.964,57</t>
  </si>
  <si>
    <t>ADELANTO IIBB TUC LETRA H RESP:30626629942 / 0,12% SOBRE $2.524.960,45</t>
  </si>
  <si>
    <t>ADELANTO IIBB TUC LETRA H RESP:30626629942 / 0,12% SOBRE $2.295.841,16</t>
  </si>
  <si>
    <t>ADELANTO IIBB TUC LETRA H RESP:30626629942 / 0,12% SOBRE $1.632.329,71</t>
  </si>
  <si>
    <t>ADELANTO IIBB TUC LETRA H RESP:30626629942 / 0,12% SOBRE $1.450.735,15</t>
  </si>
  <si>
    <t>ADELANTO IIBB TUC LETRA H RESP:30626629942 / 0,12% SOBRE $65.363,77</t>
  </si>
  <si>
    <t>REGIMEN DE RECAUDACION SIRCREB N RESP:30626629942 / 1,20% SOBRE $104.649.044,88</t>
  </si>
  <si>
    <t>REGIMEN DE RECAUDACION SIRCREB N RESP:30626629942 / 1,20% SOBRE $22.301.013,72</t>
  </si>
  <si>
    <t>REGIMEN DE RECAUDACION SIRCREB N RESP:30626629942 / 1,20% SOBRE $17.912.074,22</t>
  </si>
  <si>
    <t>REGIMEN DE RECAUDACION SIRCREB N RESP:30626629942 / 1,20% SOBRE $17.234.704,31</t>
  </si>
  <si>
    <t>REGIMEN DE RECAUDACION SIRCREB N RESP:30626629942 / 1,20% SOBRE $8.885.234,67</t>
  </si>
  <si>
    <t>REGIMEN DE RECAUDACION SIRCREB N RESP:30626629942 / 1,20% SOBRE $6.987.265,87</t>
  </si>
  <si>
    <t>REGIMEN DE RECAUDACION SIRCREB N RESP:30626629942 / 1,20% SOBRE $6.803.888,62</t>
  </si>
  <si>
    <t>REGIMEN DE RECAUDACION SIRCREB N RESP:30626629942 / 1,20% SOBRE $5.279.564,04</t>
  </si>
  <si>
    <t>REGIMEN DE RECAUDACION SIRCREB N RESP:30626629942 / 1,20% SOBRE $4.962.758,75</t>
  </si>
  <si>
    <t>REGIMEN DE RECAUDACION SIRCREB N RESP:30626629942 / 1,20% SOBRE $4.760.077,49</t>
  </si>
  <si>
    <t>REGIMEN DE RECAUDACION SIRCREB N RESP:30626629942 / 1,20% SOBRE $4.516.551,58</t>
  </si>
  <si>
    <t>REGIMEN DE RECAUDACION SIRCREB N RESP:30626629942 / 1,20% SOBRE $4.057.553,99</t>
  </si>
  <si>
    <t>REGIMEN DE RECAUDACION SIRCREB N RESP:30626629942 / 1,20% SOBRE $4.002.976,13</t>
  </si>
  <si>
    <t>REGIMEN DE RECAUDACION SIRCREB R RESP:30626629942 / 1,60% SOBRE $2.968.478,47</t>
  </si>
  <si>
    <t>REGIMEN DE RECAUDACION SIRCREB N RESP:30626629942 / 1,20% SOBRE $3.331.409,07</t>
  </si>
  <si>
    <t>REGIMEN DE RECAUDACION SIRCREB N RESP:30626629942 / 1,20% SOBRE $3.221.595,88</t>
  </si>
  <si>
    <t>REGIMEN DE RECAUDACION SIRCREB N RESP:30626629942 / 1,20% SOBRE $2.829.190,83</t>
  </si>
  <si>
    <t>REGIMEN DE RECAUDACION SIRCREB N RESP:30626629942 / 1,20% SOBRE $2.763.295,43</t>
  </si>
  <si>
    <t>REGIMEN DE RECAUDACION SIRCREB N RESP:30626629942 / 1,20% SOBRE $1.488.889,13</t>
  </si>
  <si>
    <t>REGIMEN DE RECAUDACION SIRCREB N RESP:30626629942 / 1,20% SOBRE $308.196,66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</si>
</sst>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8" x14ac:knownFonts="1">
    <font>
      <sz val="11"/>
      <color theme="1"/>
      <name val="Calibri"/>
      <family val="2"/>
      <scheme val="minor"/>
    </font>
    <font>
      <b/>
      <sz val="16"/>
      <color rgb="FF2F5496"/>
      <name val="Arial"/>
    </font>
    <font>
      <sz val="10"/>
      <color rgb="FF666666"/>
      <name val="Arial"/>
    </font>
    <font>
      <b/>
      <sz val="11"/>
      <name val="Arial"/>
    </font>
    <font>
      <sz val="11"/>
      <name val="Arial"/>
    </font>
    <font>
      <b/>
      <sz val="11"/>
      <color rgb="FFC00000"/>
      <name val="Arial"/>
    </font>
    <font>
      <b/>
      <sz val="12"/>
      <color rgb="FF2F5496"/>
      <name val="Arial"/>
    </font>
    <font>
      <sz val="10"/>
      <name val="Arial"/>
    </font>
    <font>
      <sz val="9"/>
      <color rgb="FF888888"/>
      <name val="Arial"/>
    </font>
    <font>
      <b/>
      <sz val="10"/>
      <name val="Arial"/>
    </font>
    <font>
      <b/>
      <sz val="11"/>
      <color rgb="FF2F5496"/>
      <name val="Arial"/>
    </font>
    <font>
      <b/>
      <sz val="11"/>
      <color rgb="FFFFFFFF"/>
      <name val="Arial"/>
    </font>
    <font>
      <i/>
      <sz val="9"/>
      <color rgb="FFC00000"/>
      <name val="Arial"/>
    </font>
    <font>
      <b/>
      <sz val="14"/>
      <color rgb="FF2F5496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i/>
      <sz val="10"/>
      <color rgb="FF7030A0"/>
      <name val="Arial"/>
    </font>
    <font>
      <b/>
      <sz val="12"/>
      <color rgb="FFC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FF0000"/>
      </patternFill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4" fontId="3" fillId="2" borderId="1" xfId="0" applyNumberFormat="1" applyFont="1" applyFill="1" applyBorder="1"/>
    <xf numFmtId="0" fontId="4" fillId="0" borderId="1" xfId="0" applyFont="1" applyBorder="1"/>
    <xf numFmtId="4" fontId="4" fillId="0" borderId="1" xfId="0" applyNumberFormat="1" applyFont="1" applyBorder="1"/>
    <xf numFmtId="0" fontId="7" fillId="5" borderId="1" xfId="0" applyFont="1" applyFill="1" applyBorder="1"/>
    <xf numFmtId="0" fontId="3" fillId="5" borderId="1" xfId="0" applyFont="1" applyFill="1" applyBorder="1"/>
    <xf numFmtId="0" fontId="12" fillId="0" borderId="0" xfId="0" applyFont="1"/>
    <xf numFmtId="4" fontId="3" fillId="3" borderId="1" xfId="0" applyNumberFormat="1" applyFont="1" applyFill="1" applyBorder="1"/>
    <xf numFmtId="0" fontId="5" fillId="3" borderId="1" xfId="0" applyFont="1" applyFill="1" applyBorder="1"/>
    <xf numFmtId="4" fontId="5" fillId="3" borderId="1" xfId="0" applyNumberFormat="1" applyFont="1" applyFill="1" applyBorder="1"/>
    <xf numFmtId="0" fontId="6" fillId="0" borderId="0" xfId="0" applyFont="1"/>
    <xf numFmtId="0" fontId="7" fillId="0" borderId="1" xfId="0" applyFont="1" applyBorder="1"/>
    <xf numFmtId="4" fontId="7" fillId="0" borderId="1" xfId="0" applyNumberFormat="1" applyFont="1" applyBorder="1"/>
    <xf numFmtId="0" fontId="8" fillId="0" borderId="0" xfId="0" applyFont="1"/>
    <xf numFmtId="0" fontId="9" fillId="4" borderId="1" xfId="0" applyFont="1" applyFill="1" applyBorder="1"/>
    <xf numFmtId="4" fontId="9" fillId="4" borderId="1" xfId="0" applyNumberFormat="1" applyFont="1" applyFill="1" applyBorder="1"/>
    <xf numFmtId="0" fontId="9" fillId="0" borderId="1" xfId="0" applyFont="1" applyBorder="1"/>
    <xf numFmtId="4" fontId="9" fillId="3" borderId="1" xfId="0" applyNumberFormat="1" applyFont="1" applyFill="1" applyBorder="1"/>
    <xf numFmtId="0" fontId="14" fillId="7" borderId="1" xfId="0" applyFont="1" applyFill="1" applyBorder="1" applyAlignment="1">
      <alignment horizontal="center"/>
    </xf>
    <xf numFmtId="165" fontId="7" fillId="0" borderId="1" xfId="0" applyNumberFormat="1" applyFont="1" applyBorder="1"/>
    <xf numFmtId="0" fontId="0" fillId="0" borderId="1" xfId="0" applyBorder="1"/>
    <xf numFmtId="0" fontId="9" fillId="3" borderId="1" xfId="0" applyFont="1" applyFill="1" applyBorder="1"/>
    <xf numFmtId="0" fontId="17" fillId="0" borderId="0" xfId="0" applyFont="1"/>
    <xf numFmtId="165" fontId="7" fillId="8" borderId="1" xfId="0" applyNumberFormat="1" applyFont="1" applyFill="1" applyBorder="1"/>
    <xf numFmtId="0" fontId="7" fillId="8" borderId="1" xfId="0" applyFont="1" applyFill="1" applyBorder="1"/>
    <xf numFmtId="4" fontId="7" fillId="8" borderId="1" xfId="0" applyNumberFormat="1" applyFont="1" applyFill="1" applyBorder="1"/>
    <xf numFmtId="0" fontId="7" fillId="9" borderId="1" xfId="0" applyFont="1" applyFill="1" applyBorder="1"/>
    <xf numFmtId="165" fontId="7" fillId="10" borderId="1" xfId="0" applyNumberFormat="1" applyFont="1" applyFill="1" applyBorder="1"/>
    <xf numFmtId="4" fontId="7" fillId="10" borderId="1" xfId="0" applyNumberFormat="1" applyFont="1" applyFill="1" applyBorder="1"/>
    <xf numFmtId="0" fontId="7" fillId="10" borderId="1" xfId="0" applyFont="1" applyFill="1" applyBorder="1"/>
    <xf numFmtId="4" fontId="7" fillId="9" borderId="1" xfId="0" applyNumberFormat="1" applyFont="1" applyFill="1" applyBorder="1"/>
    <xf numFmtId="0" fontId="5" fillId="0" borderId="0" xfId="0" applyFont="1"/>
    <xf numFmtId="165" fontId="7" fillId="9" borderId="1" xfId="0" applyNumberFormat="1" applyFont="1" applyFill="1" applyBorder="1"/>
    <xf numFmtId="4" fontId="0" fillId="3" borderId="1" xfId="0" applyNumberFormat="1" applyFill="1" applyBorder="1"/>
    <xf numFmtId="0" fontId="7" fillId="0" borderId="1" xfId="0" applyFont="1" applyBorder="1" applyAlignment="1">
      <alignment horizontal="center"/>
    </xf>
    <xf numFmtId="0" fontId="1" fillId="0" borderId="0" xfId="0" applyFont="1"/>
    <xf numFmtId="0" fontId="0" fillId="0" borderId="0" xfId="0"/>
    <xf numFmtId="4" fontId="7" fillId="5" borderId="1" xfId="0" applyNumberFormat="1" applyFont="1" applyFill="1" applyBorder="1"/>
    <xf numFmtId="4" fontId="11" fillId="6" borderId="1" xfId="0" applyNumberFormat="1" applyFont="1" applyFill="1" applyBorder="1"/>
    <xf numFmtId="0" fontId="10" fillId="5" borderId="1" xfId="0" applyFont="1" applyFill="1" applyBorder="1" applyAlignment="1">
      <alignment horizontal="center"/>
    </xf>
    <xf numFmtId="0" fontId="13" fillId="0" borderId="0" xfId="0" applyFont="1"/>
    <xf numFmtId="0" fontId="15" fillId="7" borderId="0" xfId="0" applyFont="1" applyFill="1"/>
    <xf numFmtId="0" fontId="16" fillId="0" borderId="0" xfId="0" applyFont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1" max="1" width="38" customWidth="1"/>
    <col min="2" max="2" width="22" customWidth="1"/>
    <col min="3" max="4" width="18" customWidth="1"/>
    <col min="5" max="6" width="16" customWidth="1"/>
    <col min="7" max="7" width="24" customWidth="1"/>
  </cols>
  <sheetData>
    <row r="1" spans="1:7" ht="21" x14ac:dyDescent="0.4">
      <c r="A1" s="37" t="s">
        <v>0</v>
      </c>
      <c r="B1" s="38"/>
      <c r="C1" s="38"/>
      <c r="D1" s="38"/>
    </row>
    <row r="2" spans="1:7" x14ac:dyDescent="0.3">
      <c r="A2" s="1" t="s">
        <v>1</v>
      </c>
    </row>
    <row r="4" spans="1:7" x14ac:dyDescent="0.3">
      <c r="A4" s="2" t="s">
        <v>2</v>
      </c>
      <c r="B4" s="3">
        <v>5622491.4900000002</v>
      </c>
      <c r="D4" s="41" t="s">
        <v>3</v>
      </c>
      <c r="E4" s="38"/>
      <c r="F4" s="38"/>
      <c r="G4" s="38"/>
    </row>
    <row r="5" spans="1:7" x14ac:dyDescent="0.3">
      <c r="A5" s="4" t="s">
        <v>4</v>
      </c>
      <c r="B5" s="5">
        <v>399761267.05000001</v>
      </c>
      <c r="D5" s="6" t="s">
        <v>5</v>
      </c>
      <c r="E5" s="39">
        <v>5622491.4900000002</v>
      </c>
      <c r="F5" s="38"/>
    </row>
    <row r="6" spans="1:7" x14ac:dyDescent="0.3">
      <c r="A6" s="4" t="s">
        <v>6</v>
      </c>
      <c r="B6" s="5">
        <v>374208303.23000002</v>
      </c>
      <c r="D6" s="6" t="s">
        <v>7</v>
      </c>
      <c r="E6" s="39">
        <v>457232916.92000002</v>
      </c>
      <c r="F6" s="38"/>
    </row>
    <row r="7" spans="1:7" x14ac:dyDescent="0.3">
      <c r="A7" s="2" t="s">
        <v>8</v>
      </c>
      <c r="B7" s="3">
        <v>2692160.82</v>
      </c>
      <c r="D7" s="6" t="s">
        <v>9</v>
      </c>
      <c r="E7" s="39">
        <v>460163247.58999997</v>
      </c>
      <c r="F7" s="38"/>
    </row>
    <row r="8" spans="1:7" x14ac:dyDescent="0.3">
      <c r="A8" s="4" t="s">
        <v>10</v>
      </c>
      <c r="B8" s="5">
        <v>56471649.840000004</v>
      </c>
      <c r="D8" s="6" t="s">
        <v>11</v>
      </c>
      <c r="E8" s="39">
        <v>0</v>
      </c>
      <c r="F8" s="38"/>
    </row>
    <row r="9" spans="1:7" x14ac:dyDescent="0.3">
      <c r="A9" s="4" t="s">
        <v>12</v>
      </c>
      <c r="B9" s="5">
        <v>81228085.379999995</v>
      </c>
      <c r="D9" s="7" t="s">
        <v>13</v>
      </c>
      <c r="E9" s="40">
        <v>2692160.82</v>
      </c>
      <c r="F9" s="38"/>
      <c r="G9" s="8" t="s">
        <v>14</v>
      </c>
    </row>
    <row r="10" spans="1:7" x14ac:dyDescent="0.3">
      <c r="A10" s="4" t="s">
        <v>15</v>
      </c>
      <c r="B10" s="5">
        <v>23844504.579999998</v>
      </c>
    </row>
    <row r="11" spans="1:7" x14ac:dyDescent="0.3">
      <c r="A11" s="4" t="s">
        <v>16</v>
      </c>
      <c r="B11" s="5">
        <v>59404445.350000001</v>
      </c>
    </row>
    <row r="12" spans="1:7" x14ac:dyDescent="0.3">
      <c r="A12" s="4" t="s">
        <v>17</v>
      </c>
      <c r="B12" s="5">
        <v>5726858.9900000002</v>
      </c>
    </row>
    <row r="13" spans="1:7" x14ac:dyDescent="0.3">
      <c r="B13" s="9">
        <v>-30483294.530000001</v>
      </c>
    </row>
    <row r="15" spans="1:7" x14ac:dyDescent="0.3">
      <c r="A15" s="2" t="s">
        <v>18</v>
      </c>
      <c r="B15" s="3">
        <v>0</v>
      </c>
    </row>
    <row r="16" spans="1:7" x14ac:dyDescent="0.3">
      <c r="A16" s="10" t="s">
        <v>19</v>
      </c>
      <c r="B16" s="11">
        <v>-2692160.82</v>
      </c>
    </row>
    <row r="18" spans="1:3" ht="15.6" x14ac:dyDescent="0.3">
      <c r="A18" s="12" t="s">
        <v>20</v>
      </c>
    </row>
    <row r="19" spans="1:3" x14ac:dyDescent="0.3">
      <c r="A19" s="13" t="s">
        <v>21</v>
      </c>
      <c r="B19" s="13">
        <v>327</v>
      </c>
    </row>
    <row r="20" spans="1:3" x14ac:dyDescent="0.3">
      <c r="A20" s="13" t="s">
        <v>22</v>
      </c>
      <c r="B20" s="13">
        <v>3</v>
      </c>
    </row>
    <row r="21" spans="1:3" x14ac:dyDescent="0.3">
      <c r="A21" s="13" t="s">
        <v>23</v>
      </c>
      <c r="B21" s="13">
        <v>79</v>
      </c>
    </row>
    <row r="22" spans="1:3" x14ac:dyDescent="0.3">
      <c r="A22" s="13" t="s">
        <v>24</v>
      </c>
      <c r="B22" s="13">
        <v>28</v>
      </c>
    </row>
    <row r="24" spans="1:3" ht="15.6" x14ac:dyDescent="0.3">
      <c r="A24" s="12" t="s">
        <v>25</v>
      </c>
    </row>
    <row r="25" spans="1:3" x14ac:dyDescent="0.3">
      <c r="A25" s="13" t="s">
        <v>26</v>
      </c>
      <c r="B25" s="14">
        <v>2763039.07</v>
      </c>
      <c r="C25" s="15" t="s">
        <v>27</v>
      </c>
    </row>
    <row r="26" spans="1:3" x14ac:dyDescent="0.3">
      <c r="A26" s="13" t="s">
        <v>28</v>
      </c>
      <c r="B26" s="14">
        <v>254212.33</v>
      </c>
      <c r="C26" s="15" t="s">
        <v>27</v>
      </c>
    </row>
    <row r="27" spans="1:3" x14ac:dyDescent="0.3">
      <c r="A27" s="13" t="s">
        <v>29</v>
      </c>
      <c r="B27" s="14">
        <v>985573.82000000007</v>
      </c>
      <c r="C27" s="15" t="s">
        <v>30</v>
      </c>
    </row>
    <row r="28" spans="1:3" x14ac:dyDescent="0.3">
      <c r="A28" s="13" t="s">
        <v>31</v>
      </c>
      <c r="B28" s="14">
        <v>1420037.56</v>
      </c>
      <c r="C28" s="15" t="s">
        <v>32</v>
      </c>
    </row>
    <row r="29" spans="1:3" x14ac:dyDescent="0.3">
      <c r="A29" s="13" t="s">
        <v>33</v>
      </c>
      <c r="B29" s="14">
        <v>239074.83</v>
      </c>
      <c r="C29" s="15" t="s">
        <v>34</v>
      </c>
    </row>
    <row r="30" spans="1:3" x14ac:dyDescent="0.3">
      <c r="A30" s="13" t="s">
        <v>35</v>
      </c>
      <c r="B30" s="14">
        <v>9090.99</v>
      </c>
      <c r="C30" s="15" t="s">
        <v>36</v>
      </c>
    </row>
    <row r="31" spans="1:3" x14ac:dyDescent="0.3">
      <c r="A31" s="13" t="s">
        <v>37</v>
      </c>
      <c r="B31" s="14">
        <v>55830.389999999992</v>
      </c>
      <c r="C31" s="15" t="s">
        <v>38</v>
      </c>
    </row>
    <row r="32" spans="1:3" x14ac:dyDescent="0.3">
      <c r="A32" s="16" t="s">
        <v>39</v>
      </c>
      <c r="B32" s="17">
        <v>5726858.9900000002</v>
      </c>
    </row>
  </sheetData>
  <mergeCells count="7">
    <mergeCell ref="A1:D1"/>
    <mergeCell ref="E6:F6"/>
    <mergeCell ref="E7:F7"/>
    <mergeCell ref="E5:F5"/>
    <mergeCell ref="E9:F9"/>
    <mergeCell ref="E8:F8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4"/>
  <sheetViews>
    <sheetView topLeftCell="A609" workbookViewId="0">
      <selection activeCell="D634" sqref="D634"/>
    </sheetView>
  </sheetViews>
  <sheetFormatPr baseColWidth="10" defaultColWidth="8.88671875" defaultRowHeight="14.4" x14ac:dyDescent="0.3"/>
  <cols>
    <col min="1" max="1" width="14" customWidth="1"/>
    <col min="2" max="2" width="32" customWidth="1"/>
    <col min="3" max="4" width="16" customWidth="1"/>
    <col min="5" max="5" width="30" customWidth="1"/>
    <col min="6" max="6" width="24" customWidth="1"/>
  </cols>
  <sheetData>
    <row r="1" spans="1:6" ht="17.399999999999999" x14ac:dyDescent="0.3">
      <c r="A1" s="42" t="s">
        <v>40</v>
      </c>
      <c r="B1" s="38"/>
      <c r="C1" s="38"/>
      <c r="D1" s="38"/>
      <c r="E1" s="38"/>
      <c r="F1" s="38"/>
    </row>
    <row r="3" spans="1:6" x14ac:dyDescent="0.3">
      <c r="A3" s="18" t="s">
        <v>41</v>
      </c>
      <c r="D3" s="19">
        <v>5622491.4900000002</v>
      </c>
    </row>
    <row r="5" spans="1:6" x14ac:dyDescent="0.3">
      <c r="A5" s="20" t="s">
        <v>42</v>
      </c>
      <c r="B5" s="20" t="s">
        <v>43</v>
      </c>
      <c r="C5" s="20" t="s">
        <v>44</v>
      </c>
      <c r="D5" s="20" t="s">
        <v>45</v>
      </c>
      <c r="E5" s="20" t="s">
        <v>46</v>
      </c>
      <c r="F5" s="20" t="s">
        <v>47</v>
      </c>
    </row>
    <row r="6" spans="1:6" x14ac:dyDescent="0.3">
      <c r="A6" s="21">
        <v>46080</v>
      </c>
      <c r="B6" s="13" t="s">
        <v>48</v>
      </c>
      <c r="C6" s="14">
        <v>47495.65</v>
      </c>
      <c r="D6" s="13"/>
      <c r="E6" s="13"/>
      <c r="F6" s="13" t="s">
        <v>26</v>
      </c>
    </row>
    <row r="7" spans="1:6" x14ac:dyDescent="0.3">
      <c r="A7" s="21">
        <v>46080</v>
      </c>
      <c r="B7" s="13" t="s">
        <v>49</v>
      </c>
      <c r="C7" s="14">
        <v>3270.15</v>
      </c>
      <c r="D7" s="13"/>
      <c r="E7" s="13"/>
      <c r="F7" s="13" t="s">
        <v>28</v>
      </c>
    </row>
    <row r="8" spans="1:6" x14ac:dyDescent="0.3">
      <c r="A8" s="21">
        <v>46083</v>
      </c>
      <c r="B8" s="13" t="s">
        <v>50</v>
      </c>
      <c r="C8" s="13"/>
      <c r="D8" s="14">
        <v>220378.89</v>
      </c>
      <c r="E8" s="13"/>
      <c r="F8" s="13" t="s">
        <v>51</v>
      </c>
    </row>
    <row r="9" spans="1:6" x14ac:dyDescent="0.3">
      <c r="A9" s="21">
        <v>46083</v>
      </c>
      <c r="B9" s="13" t="s">
        <v>52</v>
      </c>
      <c r="C9" s="14">
        <v>762181.55</v>
      </c>
      <c r="D9" s="13"/>
      <c r="E9" s="13"/>
      <c r="F9" s="13" t="s">
        <v>53</v>
      </c>
    </row>
    <row r="10" spans="1:6" x14ac:dyDescent="0.3">
      <c r="A10" s="21">
        <v>46083</v>
      </c>
      <c r="B10" s="13" t="s">
        <v>54</v>
      </c>
      <c r="C10" s="13"/>
      <c r="D10" s="14">
        <v>17956.09</v>
      </c>
      <c r="E10" s="13"/>
      <c r="F10" s="13" t="s">
        <v>51</v>
      </c>
    </row>
    <row r="11" spans="1:6" x14ac:dyDescent="0.3">
      <c r="A11" s="21">
        <v>46083</v>
      </c>
      <c r="B11" s="13" t="s">
        <v>55</v>
      </c>
      <c r="C11" s="13"/>
      <c r="D11" s="14">
        <v>1500000</v>
      </c>
      <c r="E11" s="13"/>
      <c r="F11" s="13" t="s">
        <v>51</v>
      </c>
    </row>
    <row r="12" spans="1:6" x14ac:dyDescent="0.3">
      <c r="A12" s="21">
        <v>46083</v>
      </c>
      <c r="B12" s="13" t="s">
        <v>56</v>
      </c>
      <c r="C12" s="13"/>
      <c r="D12" s="14">
        <v>1065256</v>
      </c>
      <c r="E12" s="13"/>
      <c r="F12" s="13" t="s">
        <v>51</v>
      </c>
    </row>
    <row r="13" spans="1:6" x14ac:dyDescent="0.3">
      <c r="A13" s="21">
        <v>46083</v>
      </c>
      <c r="B13" s="13" t="s">
        <v>57</v>
      </c>
      <c r="C13" s="13"/>
      <c r="D13" s="14">
        <v>140722</v>
      </c>
      <c r="E13" s="13"/>
      <c r="F13" s="13" t="s">
        <v>51</v>
      </c>
    </row>
    <row r="14" spans="1:6" x14ac:dyDescent="0.3">
      <c r="A14" s="21">
        <v>46083</v>
      </c>
      <c r="B14" s="13" t="s">
        <v>58</v>
      </c>
      <c r="C14" s="13"/>
      <c r="D14" s="14">
        <v>155788.20000000001</v>
      </c>
      <c r="E14" s="13"/>
      <c r="F14" s="13" t="s">
        <v>51</v>
      </c>
    </row>
    <row r="15" spans="1:6" x14ac:dyDescent="0.3">
      <c r="A15" s="21">
        <v>46083</v>
      </c>
      <c r="B15" s="13" t="s">
        <v>59</v>
      </c>
      <c r="C15" s="13"/>
      <c r="D15" s="14">
        <v>1500000</v>
      </c>
      <c r="E15" s="13"/>
      <c r="F15" s="13" t="s">
        <v>51</v>
      </c>
    </row>
    <row r="16" spans="1:6" x14ac:dyDescent="0.3">
      <c r="A16" s="21">
        <v>46083</v>
      </c>
      <c r="B16" s="13" t="s">
        <v>60</v>
      </c>
      <c r="C16" s="13"/>
      <c r="D16" s="14">
        <v>3500000</v>
      </c>
      <c r="E16" s="13"/>
      <c r="F16" s="13" t="s">
        <v>51</v>
      </c>
    </row>
    <row r="17" spans="1:6" x14ac:dyDescent="0.3">
      <c r="A17" s="21">
        <v>46083</v>
      </c>
      <c r="B17" s="13" t="s">
        <v>61</v>
      </c>
      <c r="C17" s="14">
        <v>10000000</v>
      </c>
      <c r="D17" s="13"/>
      <c r="E17" s="13"/>
      <c r="F17" s="13" t="s">
        <v>51</v>
      </c>
    </row>
    <row r="18" spans="1:6" x14ac:dyDescent="0.3">
      <c r="A18" s="21">
        <v>46083</v>
      </c>
      <c r="B18" s="13" t="s">
        <v>62</v>
      </c>
      <c r="C18" s="14">
        <v>815844.94</v>
      </c>
      <c r="D18" s="13"/>
      <c r="E18" s="13"/>
      <c r="F18" s="13" t="s">
        <v>63</v>
      </c>
    </row>
    <row r="19" spans="1:6" x14ac:dyDescent="0.3">
      <c r="A19" s="21">
        <v>46083</v>
      </c>
      <c r="B19" s="13" t="s">
        <v>64</v>
      </c>
      <c r="C19" s="13"/>
      <c r="D19" s="14">
        <v>1163194.25</v>
      </c>
      <c r="E19" s="13"/>
      <c r="F19" s="13" t="s">
        <v>51</v>
      </c>
    </row>
    <row r="20" spans="1:6" x14ac:dyDescent="0.3">
      <c r="A20" s="21">
        <v>46083</v>
      </c>
      <c r="B20" s="13" t="s">
        <v>65</v>
      </c>
      <c r="C20" s="14">
        <v>9772.75</v>
      </c>
      <c r="D20" s="13"/>
      <c r="E20" s="13"/>
      <c r="F20" s="13" t="s">
        <v>29</v>
      </c>
    </row>
    <row r="21" spans="1:6" x14ac:dyDescent="0.3">
      <c r="A21" s="21">
        <v>46083</v>
      </c>
      <c r="B21" s="13" t="s">
        <v>66</v>
      </c>
      <c r="C21" s="14">
        <v>16579.78</v>
      </c>
      <c r="D21" s="13"/>
      <c r="E21" s="13"/>
      <c r="F21" s="13" t="s">
        <v>31</v>
      </c>
    </row>
    <row r="22" spans="1:6" x14ac:dyDescent="0.3">
      <c r="A22" s="21">
        <v>46083</v>
      </c>
      <c r="B22" s="13" t="s">
        <v>67</v>
      </c>
      <c r="C22" s="14">
        <v>33159.54</v>
      </c>
      <c r="D22" s="13"/>
      <c r="E22" s="13"/>
      <c r="F22" s="13" t="s">
        <v>26</v>
      </c>
    </row>
    <row r="23" spans="1:6" x14ac:dyDescent="0.3">
      <c r="A23" s="21">
        <v>46083</v>
      </c>
      <c r="B23" s="13" t="s">
        <v>68</v>
      </c>
      <c r="C23" s="14">
        <v>3029.96</v>
      </c>
      <c r="D23" s="13"/>
      <c r="E23" s="13"/>
      <c r="F23" s="13" t="s">
        <v>28</v>
      </c>
    </row>
    <row r="24" spans="1:6" x14ac:dyDescent="0.3">
      <c r="A24" s="21">
        <v>46084</v>
      </c>
      <c r="B24" s="13" t="s">
        <v>69</v>
      </c>
      <c r="C24" s="13"/>
      <c r="D24" s="14">
        <v>6328339.5599999996</v>
      </c>
      <c r="E24" s="13"/>
      <c r="F24" s="13" t="s">
        <v>51</v>
      </c>
    </row>
    <row r="25" spans="1:6" x14ac:dyDescent="0.3">
      <c r="A25" s="21">
        <v>46084</v>
      </c>
      <c r="B25" s="13" t="s">
        <v>70</v>
      </c>
      <c r="C25" s="13"/>
      <c r="D25" s="14">
        <v>2637600.65</v>
      </c>
      <c r="E25" s="13"/>
      <c r="F25" s="13" t="s">
        <v>51</v>
      </c>
    </row>
    <row r="26" spans="1:6" x14ac:dyDescent="0.3">
      <c r="A26" s="21">
        <v>46084</v>
      </c>
      <c r="B26" s="13" t="s">
        <v>71</v>
      </c>
      <c r="C26" s="13"/>
      <c r="D26" s="14">
        <v>177280.27</v>
      </c>
      <c r="E26" s="13"/>
      <c r="F26" s="13" t="s">
        <v>51</v>
      </c>
    </row>
    <row r="27" spans="1:6" x14ac:dyDescent="0.3">
      <c r="A27" s="21">
        <v>46084</v>
      </c>
      <c r="B27" s="13" t="s">
        <v>72</v>
      </c>
      <c r="C27" s="14">
        <v>18463.2</v>
      </c>
      <c r="D27" s="13"/>
      <c r="E27" s="13"/>
      <c r="F27" s="13" t="s">
        <v>33</v>
      </c>
    </row>
    <row r="28" spans="1:6" x14ac:dyDescent="0.3">
      <c r="A28" s="21">
        <v>46084</v>
      </c>
      <c r="B28" s="13" t="s">
        <v>73</v>
      </c>
      <c r="C28" s="14">
        <v>923.16</v>
      </c>
      <c r="D28" s="13"/>
      <c r="E28" s="13"/>
      <c r="F28" s="13" t="s">
        <v>35</v>
      </c>
    </row>
    <row r="29" spans="1:6" x14ac:dyDescent="0.3">
      <c r="A29" s="21">
        <v>46084</v>
      </c>
      <c r="B29" s="13" t="s">
        <v>74</v>
      </c>
      <c r="C29" s="14">
        <v>3877.27</v>
      </c>
      <c r="D29" s="13"/>
      <c r="E29" s="13"/>
      <c r="F29" s="13" t="s">
        <v>37</v>
      </c>
    </row>
    <row r="30" spans="1:6" x14ac:dyDescent="0.3">
      <c r="A30" s="21">
        <v>46084</v>
      </c>
      <c r="B30" s="13" t="s">
        <v>75</v>
      </c>
      <c r="C30" s="14">
        <v>553.9</v>
      </c>
      <c r="D30" s="13"/>
      <c r="E30" s="13"/>
      <c r="F30" s="13" t="s">
        <v>37</v>
      </c>
    </row>
    <row r="31" spans="1:6" x14ac:dyDescent="0.3">
      <c r="A31" s="21">
        <v>46084</v>
      </c>
      <c r="B31" s="13" t="s">
        <v>76</v>
      </c>
      <c r="C31" s="13"/>
      <c r="D31" s="14">
        <v>5078567.09</v>
      </c>
      <c r="E31" s="13"/>
      <c r="F31" s="13" t="s">
        <v>51</v>
      </c>
    </row>
    <row r="32" spans="1:6" x14ac:dyDescent="0.3">
      <c r="A32" s="21">
        <v>46084</v>
      </c>
      <c r="B32" s="13" t="s">
        <v>77</v>
      </c>
      <c r="C32" s="13"/>
      <c r="D32" s="14">
        <v>41771.35</v>
      </c>
      <c r="E32" s="13"/>
      <c r="F32" s="13" t="s">
        <v>51</v>
      </c>
    </row>
    <row r="33" spans="1:6" x14ac:dyDescent="0.3">
      <c r="A33" s="21">
        <v>46084</v>
      </c>
      <c r="B33" s="13" t="s">
        <v>78</v>
      </c>
      <c r="C33" s="13"/>
      <c r="D33" s="14">
        <v>66691.62</v>
      </c>
      <c r="E33" s="13"/>
      <c r="F33" s="13" t="s">
        <v>51</v>
      </c>
    </row>
    <row r="34" spans="1:6" x14ac:dyDescent="0.3">
      <c r="A34" s="21">
        <v>46084</v>
      </c>
      <c r="B34" s="13" t="s">
        <v>79</v>
      </c>
      <c r="C34" s="13"/>
      <c r="D34" s="14">
        <v>376285.8</v>
      </c>
      <c r="E34" s="13"/>
      <c r="F34" s="13" t="s">
        <v>51</v>
      </c>
    </row>
    <row r="35" spans="1:6" x14ac:dyDescent="0.3">
      <c r="A35" s="21">
        <v>46084</v>
      </c>
      <c r="B35" s="13" t="s">
        <v>80</v>
      </c>
      <c r="C35" s="13"/>
      <c r="D35" s="14">
        <v>111289.75</v>
      </c>
      <c r="E35" s="13"/>
      <c r="F35" s="13" t="s">
        <v>51</v>
      </c>
    </row>
    <row r="36" spans="1:6" x14ac:dyDescent="0.3">
      <c r="A36" s="21">
        <v>46084</v>
      </c>
      <c r="B36" s="13" t="s">
        <v>81</v>
      </c>
      <c r="C36" s="13"/>
      <c r="D36" s="14">
        <v>698727.85</v>
      </c>
      <c r="E36" s="13"/>
      <c r="F36" s="13" t="s">
        <v>51</v>
      </c>
    </row>
    <row r="37" spans="1:6" x14ac:dyDescent="0.3">
      <c r="A37" s="21">
        <v>46084</v>
      </c>
      <c r="B37" s="13" t="s">
        <v>82</v>
      </c>
      <c r="C37" s="13"/>
      <c r="D37" s="14">
        <v>41895</v>
      </c>
      <c r="E37" s="13"/>
      <c r="F37" s="13" t="s">
        <v>51</v>
      </c>
    </row>
    <row r="38" spans="1:6" x14ac:dyDescent="0.3">
      <c r="A38" s="21">
        <v>46084</v>
      </c>
      <c r="B38" s="13" t="s">
        <v>83</v>
      </c>
      <c r="C38" s="13"/>
      <c r="D38" s="14">
        <v>1800000</v>
      </c>
      <c r="E38" s="13"/>
      <c r="F38" s="13" t="s">
        <v>51</v>
      </c>
    </row>
    <row r="39" spans="1:6" x14ac:dyDescent="0.3">
      <c r="A39" s="21">
        <v>46084</v>
      </c>
      <c r="B39" s="13" t="s">
        <v>84</v>
      </c>
      <c r="C39" s="13"/>
      <c r="D39" s="14">
        <v>1676255.37</v>
      </c>
      <c r="E39" s="13"/>
      <c r="F39" s="13" t="s">
        <v>51</v>
      </c>
    </row>
    <row r="40" spans="1:6" x14ac:dyDescent="0.3">
      <c r="A40" s="21">
        <v>46084</v>
      </c>
      <c r="B40" s="13" t="s">
        <v>85</v>
      </c>
      <c r="C40" s="14">
        <v>175593.51</v>
      </c>
      <c r="D40" s="13"/>
      <c r="E40" s="13"/>
      <c r="F40" s="13" t="s">
        <v>51</v>
      </c>
    </row>
    <row r="41" spans="1:6" x14ac:dyDescent="0.3">
      <c r="A41" s="21">
        <v>46084</v>
      </c>
      <c r="B41" s="13" t="s">
        <v>86</v>
      </c>
      <c r="C41" s="14">
        <v>920576.26</v>
      </c>
      <c r="D41" s="13"/>
      <c r="E41" s="13"/>
      <c r="F41" s="13" t="s">
        <v>51</v>
      </c>
    </row>
    <row r="42" spans="1:6" x14ac:dyDescent="0.3">
      <c r="A42" s="21">
        <v>46084</v>
      </c>
      <c r="B42" s="13" t="s">
        <v>87</v>
      </c>
      <c r="C42" s="14">
        <v>353925</v>
      </c>
      <c r="D42" s="13"/>
      <c r="E42" s="13"/>
      <c r="F42" s="13" t="s">
        <v>51</v>
      </c>
    </row>
    <row r="43" spans="1:6" x14ac:dyDescent="0.3">
      <c r="A43" s="21">
        <v>46084</v>
      </c>
      <c r="B43" s="13" t="s">
        <v>88</v>
      </c>
      <c r="C43" s="14">
        <v>500000</v>
      </c>
      <c r="D43" s="13"/>
      <c r="E43" s="13"/>
      <c r="F43" s="13" t="s">
        <v>51</v>
      </c>
    </row>
    <row r="44" spans="1:6" x14ac:dyDescent="0.3">
      <c r="A44" s="21">
        <v>46084</v>
      </c>
      <c r="B44" s="13" t="s">
        <v>89</v>
      </c>
      <c r="C44" s="14">
        <v>7643370</v>
      </c>
      <c r="D44" s="13"/>
      <c r="E44" s="13"/>
      <c r="F44" s="13" t="s">
        <v>51</v>
      </c>
    </row>
    <row r="45" spans="1:6" x14ac:dyDescent="0.3">
      <c r="A45" s="21">
        <v>46084</v>
      </c>
      <c r="B45" s="13" t="s">
        <v>90</v>
      </c>
      <c r="C45" s="14">
        <v>710000</v>
      </c>
      <c r="D45" s="13"/>
      <c r="E45" s="13"/>
      <c r="F45" s="13" t="s">
        <v>51</v>
      </c>
    </row>
    <row r="46" spans="1:6" x14ac:dyDescent="0.3">
      <c r="A46" s="21">
        <v>46084</v>
      </c>
      <c r="B46" s="13" t="s">
        <v>91</v>
      </c>
      <c r="C46" s="14">
        <v>440846.7</v>
      </c>
      <c r="D46" s="13"/>
      <c r="E46" s="13"/>
      <c r="F46" s="13" t="s">
        <v>51</v>
      </c>
    </row>
    <row r="47" spans="1:6" x14ac:dyDescent="0.3">
      <c r="A47" s="21">
        <v>46084</v>
      </c>
      <c r="B47" s="13" t="s">
        <v>92</v>
      </c>
      <c r="C47" s="14">
        <v>72894.69</v>
      </c>
      <c r="D47" s="13"/>
      <c r="E47" s="13"/>
      <c r="F47" s="13" t="s">
        <v>51</v>
      </c>
    </row>
    <row r="48" spans="1:6" x14ac:dyDescent="0.3">
      <c r="A48" s="21">
        <v>46084</v>
      </c>
      <c r="B48" s="13" t="s">
        <v>93</v>
      </c>
      <c r="C48" s="14">
        <v>109631.34</v>
      </c>
      <c r="D48" s="13"/>
      <c r="E48" s="13"/>
      <c r="F48" s="13" t="s">
        <v>51</v>
      </c>
    </row>
    <row r="49" spans="1:6" x14ac:dyDescent="0.3">
      <c r="A49" s="21">
        <v>46084</v>
      </c>
      <c r="B49" s="13" t="s">
        <v>65</v>
      </c>
      <c r="C49" s="14">
        <v>65921.070000000007</v>
      </c>
      <c r="D49" s="13"/>
      <c r="E49" s="13"/>
      <c r="F49" s="13" t="s">
        <v>29</v>
      </c>
    </row>
    <row r="50" spans="1:6" x14ac:dyDescent="0.3">
      <c r="A50" s="21">
        <v>46084</v>
      </c>
      <c r="B50" s="13" t="s">
        <v>66</v>
      </c>
      <c r="C50" s="14">
        <v>103408.22</v>
      </c>
      <c r="D50" s="13"/>
      <c r="E50" s="13"/>
      <c r="F50" s="13" t="s">
        <v>31</v>
      </c>
    </row>
    <row r="51" spans="1:6" x14ac:dyDescent="0.3">
      <c r="A51" s="21">
        <v>46084</v>
      </c>
      <c r="B51" s="13" t="s">
        <v>94</v>
      </c>
      <c r="C51" s="14">
        <v>1485</v>
      </c>
      <c r="D51" s="13"/>
      <c r="E51" s="13"/>
      <c r="F51" s="13" t="s">
        <v>33</v>
      </c>
    </row>
    <row r="52" spans="1:6" x14ac:dyDescent="0.3">
      <c r="A52" s="21">
        <v>46084</v>
      </c>
      <c r="B52" s="13" t="s">
        <v>95</v>
      </c>
      <c r="C52" s="14">
        <v>311.85000000000002</v>
      </c>
      <c r="D52" s="13"/>
      <c r="E52" s="13"/>
      <c r="F52" s="13" t="s">
        <v>37</v>
      </c>
    </row>
    <row r="53" spans="1:6" x14ac:dyDescent="0.3">
      <c r="A53" s="21">
        <v>46084</v>
      </c>
      <c r="B53" s="13" t="s">
        <v>96</v>
      </c>
      <c r="C53" s="14">
        <v>206816.45</v>
      </c>
      <c r="D53" s="13"/>
      <c r="E53" s="13"/>
      <c r="F53" s="13" t="s">
        <v>26</v>
      </c>
    </row>
    <row r="54" spans="1:6" x14ac:dyDescent="0.3">
      <c r="A54" s="21">
        <v>46084</v>
      </c>
      <c r="B54" s="13" t="s">
        <v>97</v>
      </c>
      <c r="C54" s="14">
        <v>19530.04</v>
      </c>
      <c r="D54" s="13"/>
      <c r="E54" s="13"/>
      <c r="F54" s="13" t="s">
        <v>28</v>
      </c>
    </row>
    <row r="55" spans="1:6" x14ac:dyDescent="0.3">
      <c r="A55" s="21">
        <v>46085</v>
      </c>
      <c r="B55" s="13" t="s">
        <v>98</v>
      </c>
      <c r="C55" s="13"/>
      <c r="D55" s="14">
        <v>93757.34</v>
      </c>
      <c r="E55" s="13"/>
      <c r="F55" s="13" t="s">
        <v>51</v>
      </c>
    </row>
    <row r="56" spans="1:6" x14ac:dyDescent="0.3">
      <c r="A56" s="21">
        <v>46085</v>
      </c>
      <c r="B56" s="13" t="s">
        <v>99</v>
      </c>
      <c r="C56" s="13"/>
      <c r="D56" s="14">
        <v>149075.54999999999</v>
      </c>
      <c r="E56" s="13"/>
      <c r="F56" s="13" t="s">
        <v>51</v>
      </c>
    </row>
    <row r="57" spans="1:6" x14ac:dyDescent="0.3">
      <c r="A57" s="21">
        <v>46085</v>
      </c>
      <c r="B57" s="13" t="s">
        <v>100</v>
      </c>
      <c r="C57" s="13"/>
      <c r="D57" s="14">
        <v>43392</v>
      </c>
      <c r="E57" s="13"/>
      <c r="F57" s="13" t="s">
        <v>51</v>
      </c>
    </row>
    <row r="58" spans="1:6" x14ac:dyDescent="0.3">
      <c r="A58" s="21">
        <v>46085</v>
      </c>
      <c r="B58" s="13" t="s">
        <v>101</v>
      </c>
      <c r="C58" s="13"/>
      <c r="D58" s="14">
        <v>21971.77</v>
      </c>
      <c r="E58" s="13"/>
      <c r="F58" s="13" t="s">
        <v>51</v>
      </c>
    </row>
    <row r="59" spans="1:6" x14ac:dyDescent="0.3">
      <c r="A59" s="21">
        <v>46085</v>
      </c>
      <c r="B59" s="13" t="s">
        <v>102</v>
      </c>
      <c r="C59" s="14">
        <v>9000000</v>
      </c>
      <c r="D59" s="13"/>
      <c r="E59" s="13"/>
      <c r="F59" s="13" t="s">
        <v>51</v>
      </c>
    </row>
    <row r="60" spans="1:6" x14ac:dyDescent="0.3">
      <c r="A60" s="21">
        <v>46085</v>
      </c>
      <c r="B60" s="13" t="s">
        <v>65</v>
      </c>
      <c r="C60" s="14">
        <v>1368.86</v>
      </c>
      <c r="D60" s="13"/>
      <c r="E60" s="13"/>
      <c r="F60" s="13" t="s">
        <v>29</v>
      </c>
    </row>
    <row r="61" spans="1:6" x14ac:dyDescent="0.3">
      <c r="A61" s="21">
        <v>46085</v>
      </c>
      <c r="B61" s="13" t="s">
        <v>66</v>
      </c>
      <c r="C61" s="14">
        <v>1849.17</v>
      </c>
      <c r="D61" s="13"/>
      <c r="E61" s="13"/>
      <c r="F61" s="13" t="s">
        <v>31</v>
      </c>
    </row>
    <row r="62" spans="1:6" x14ac:dyDescent="0.3">
      <c r="A62" s="21">
        <v>46085</v>
      </c>
      <c r="B62" s="13" t="s">
        <v>103</v>
      </c>
      <c r="C62" s="14">
        <v>3698.36</v>
      </c>
      <c r="D62" s="13"/>
      <c r="E62" s="13"/>
      <c r="F62" s="13" t="s">
        <v>26</v>
      </c>
    </row>
    <row r="63" spans="1:6" x14ac:dyDescent="0.3">
      <c r="A63" s="21">
        <v>46085</v>
      </c>
      <c r="B63" s="13" t="s">
        <v>104</v>
      </c>
      <c r="C63" s="14">
        <v>78.44</v>
      </c>
      <c r="D63" s="13"/>
      <c r="E63" s="13"/>
      <c r="F63" s="13" t="s">
        <v>28</v>
      </c>
    </row>
    <row r="64" spans="1:6" x14ac:dyDescent="0.3">
      <c r="A64" s="21">
        <v>46086</v>
      </c>
      <c r="B64" s="13" t="s">
        <v>69</v>
      </c>
      <c r="C64" s="13"/>
      <c r="D64" s="14">
        <v>792947.4</v>
      </c>
      <c r="E64" s="13"/>
      <c r="F64" s="13" t="s">
        <v>51</v>
      </c>
    </row>
    <row r="65" spans="1:6" x14ac:dyDescent="0.3">
      <c r="A65" s="21">
        <v>46086</v>
      </c>
      <c r="B65" s="13" t="s">
        <v>105</v>
      </c>
      <c r="C65" s="13"/>
      <c r="D65" s="14">
        <v>23590.97</v>
      </c>
      <c r="E65" s="13"/>
      <c r="F65" s="13" t="s">
        <v>51</v>
      </c>
    </row>
    <row r="66" spans="1:6" x14ac:dyDescent="0.3">
      <c r="A66" s="21">
        <v>46086</v>
      </c>
      <c r="B66" s="13" t="s">
        <v>106</v>
      </c>
      <c r="C66" s="14">
        <v>234360</v>
      </c>
      <c r="D66" s="13"/>
      <c r="E66" s="13"/>
      <c r="F66" s="13" t="s">
        <v>53</v>
      </c>
    </row>
    <row r="67" spans="1:6" x14ac:dyDescent="0.3">
      <c r="A67" s="21">
        <v>46086</v>
      </c>
      <c r="B67" s="13" t="s">
        <v>107</v>
      </c>
      <c r="C67" s="14">
        <v>238545</v>
      </c>
      <c r="D67" s="13"/>
      <c r="E67" s="13"/>
      <c r="F67" s="13" t="s">
        <v>53</v>
      </c>
    </row>
    <row r="68" spans="1:6" x14ac:dyDescent="0.3">
      <c r="A68" s="21">
        <v>46086</v>
      </c>
      <c r="B68" s="13" t="s">
        <v>108</v>
      </c>
      <c r="C68" s="14">
        <v>7271</v>
      </c>
      <c r="D68" s="13"/>
      <c r="E68" s="13"/>
      <c r="F68" s="13" t="s">
        <v>53</v>
      </c>
    </row>
    <row r="69" spans="1:6" x14ac:dyDescent="0.3">
      <c r="A69" s="21">
        <v>46086</v>
      </c>
      <c r="B69" s="13" t="s">
        <v>109</v>
      </c>
      <c r="C69" s="14">
        <v>106.13</v>
      </c>
      <c r="D69" s="13"/>
      <c r="E69" s="13"/>
      <c r="F69" s="13" t="s">
        <v>51</v>
      </c>
    </row>
    <row r="70" spans="1:6" x14ac:dyDescent="0.3">
      <c r="A70" s="21">
        <v>46086</v>
      </c>
      <c r="B70" s="13" t="s">
        <v>110</v>
      </c>
      <c r="C70" s="14">
        <v>54448.25</v>
      </c>
      <c r="D70" s="13"/>
      <c r="E70" s="13"/>
      <c r="F70" s="13" t="s">
        <v>53</v>
      </c>
    </row>
    <row r="71" spans="1:6" x14ac:dyDescent="0.3">
      <c r="A71" s="21">
        <v>46086</v>
      </c>
      <c r="B71" s="13" t="s">
        <v>111</v>
      </c>
      <c r="C71" s="13"/>
      <c r="D71" s="14">
        <v>113286.66</v>
      </c>
      <c r="E71" s="13"/>
      <c r="F71" s="13" t="s">
        <v>51</v>
      </c>
    </row>
    <row r="72" spans="1:6" x14ac:dyDescent="0.3">
      <c r="A72" s="21">
        <v>46086</v>
      </c>
      <c r="B72" s="13" t="s">
        <v>112</v>
      </c>
      <c r="C72" s="13"/>
      <c r="D72" s="14">
        <v>44232</v>
      </c>
      <c r="E72" s="13"/>
      <c r="F72" s="13" t="s">
        <v>51</v>
      </c>
    </row>
    <row r="73" spans="1:6" x14ac:dyDescent="0.3">
      <c r="A73" s="21">
        <v>46086</v>
      </c>
      <c r="B73" s="13" t="s">
        <v>113</v>
      </c>
      <c r="C73" s="13"/>
      <c r="D73" s="14">
        <v>621363.6</v>
      </c>
      <c r="E73" s="13"/>
      <c r="F73" s="13" t="s">
        <v>51</v>
      </c>
    </row>
    <row r="74" spans="1:6" x14ac:dyDescent="0.3">
      <c r="A74" s="21">
        <v>46086</v>
      </c>
      <c r="B74" s="13" t="s">
        <v>114</v>
      </c>
      <c r="C74" s="13"/>
      <c r="D74" s="14">
        <v>1000000</v>
      </c>
      <c r="E74" s="13"/>
      <c r="F74" s="13" t="s">
        <v>51</v>
      </c>
    </row>
    <row r="75" spans="1:6" x14ac:dyDescent="0.3">
      <c r="A75" s="21">
        <v>46086</v>
      </c>
      <c r="B75" s="13" t="s">
        <v>115</v>
      </c>
      <c r="C75" s="14">
        <v>586850</v>
      </c>
      <c r="D75" s="13"/>
      <c r="E75" s="13"/>
      <c r="F75" s="13" t="s">
        <v>51</v>
      </c>
    </row>
    <row r="76" spans="1:6" x14ac:dyDescent="0.3">
      <c r="A76" s="21">
        <v>46086</v>
      </c>
      <c r="B76" s="13" t="s">
        <v>116</v>
      </c>
      <c r="C76" s="14">
        <v>18326</v>
      </c>
      <c r="D76" s="13"/>
      <c r="E76" s="13"/>
      <c r="F76" s="13" t="s">
        <v>51</v>
      </c>
    </row>
    <row r="77" spans="1:6" x14ac:dyDescent="0.3">
      <c r="A77" s="21">
        <v>46086</v>
      </c>
      <c r="B77" s="13" t="s">
        <v>117</v>
      </c>
      <c r="C77" s="14">
        <v>138293.60999999999</v>
      </c>
      <c r="D77" s="13"/>
      <c r="E77" s="13"/>
      <c r="F77" s="13" t="s">
        <v>51</v>
      </c>
    </row>
    <row r="78" spans="1:6" x14ac:dyDescent="0.3">
      <c r="A78" s="21">
        <v>46086</v>
      </c>
      <c r="B78" s="13" t="s">
        <v>118</v>
      </c>
      <c r="C78" s="14">
        <v>116107.55</v>
      </c>
      <c r="D78" s="13"/>
      <c r="E78" s="13"/>
      <c r="F78" s="13" t="s">
        <v>51</v>
      </c>
    </row>
    <row r="79" spans="1:6" x14ac:dyDescent="0.3">
      <c r="A79" s="21">
        <v>46086</v>
      </c>
      <c r="B79" s="13" t="s">
        <v>119</v>
      </c>
      <c r="C79" s="14">
        <v>1000000</v>
      </c>
      <c r="D79" s="13"/>
      <c r="E79" s="13"/>
      <c r="F79" s="13" t="s">
        <v>51</v>
      </c>
    </row>
    <row r="80" spans="1:6" x14ac:dyDescent="0.3">
      <c r="A80" s="21">
        <v>46086</v>
      </c>
      <c r="B80" s="13" t="s">
        <v>120</v>
      </c>
      <c r="C80" s="14">
        <v>934228.37</v>
      </c>
      <c r="D80" s="13"/>
      <c r="E80" s="13"/>
      <c r="F80" s="13" t="s">
        <v>51</v>
      </c>
    </row>
    <row r="81" spans="1:6" x14ac:dyDescent="0.3">
      <c r="A81" s="21">
        <v>46086</v>
      </c>
      <c r="B81" s="13" t="s">
        <v>121</v>
      </c>
      <c r="C81" s="14">
        <v>690000</v>
      </c>
      <c r="D81" s="13"/>
      <c r="E81" s="13"/>
      <c r="F81" s="13" t="s">
        <v>51</v>
      </c>
    </row>
    <row r="82" spans="1:6" x14ac:dyDescent="0.3">
      <c r="A82" s="21">
        <v>46086</v>
      </c>
      <c r="B82" s="13" t="s">
        <v>122</v>
      </c>
      <c r="C82" s="14">
        <v>18086.63</v>
      </c>
      <c r="D82" s="13"/>
      <c r="E82" s="13"/>
      <c r="F82" s="13" t="s">
        <v>51</v>
      </c>
    </row>
    <row r="83" spans="1:6" x14ac:dyDescent="0.3">
      <c r="A83" s="21">
        <v>46086</v>
      </c>
      <c r="B83" s="13" t="s">
        <v>123</v>
      </c>
      <c r="C83" s="14">
        <v>532160.57999999996</v>
      </c>
      <c r="D83" s="13"/>
      <c r="E83" s="13"/>
      <c r="F83" s="13" t="s">
        <v>51</v>
      </c>
    </row>
    <row r="84" spans="1:6" x14ac:dyDescent="0.3">
      <c r="A84" s="21">
        <v>46086</v>
      </c>
      <c r="B84" s="13" t="s">
        <v>124</v>
      </c>
      <c r="C84" s="14">
        <v>1071148</v>
      </c>
      <c r="D84" s="13"/>
      <c r="E84" s="13"/>
      <c r="F84" s="13" t="s">
        <v>51</v>
      </c>
    </row>
    <row r="85" spans="1:6" x14ac:dyDescent="0.3">
      <c r="A85" s="21">
        <v>46086</v>
      </c>
      <c r="B85" s="13" t="s">
        <v>125</v>
      </c>
      <c r="C85" s="14">
        <v>800000</v>
      </c>
      <c r="D85" s="13"/>
      <c r="E85" s="13"/>
      <c r="F85" s="13" t="s">
        <v>51</v>
      </c>
    </row>
    <row r="86" spans="1:6" x14ac:dyDescent="0.3">
      <c r="A86" s="21">
        <v>46086</v>
      </c>
      <c r="B86" s="13" t="s">
        <v>126</v>
      </c>
      <c r="C86" s="13"/>
      <c r="D86" s="14">
        <v>1593833.47</v>
      </c>
      <c r="E86" s="13"/>
      <c r="F86" s="13" t="s">
        <v>51</v>
      </c>
    </row>
    <row r="87" spans="1:6" x14ac:dyDescent="0.3">
      <c r="A87" s="21">
        <v>46086</v>
      </c>
      <c r="B87" s="13" t="s">
        <v>127</v>
      </c>
      <c r="C87" s="13"/>
      <c r="D87" s="14">
        <v>2085341</v>
      </c>
      <c r="E87" s="13"/>
      <c r="F87" s="13" t="s">
        <v>51</v>
      </c>
    </row>
    <row r="88" spans="1:6" x14ac:dyDescent="0.3">
      <c r="A88" s="21">
        <v>46086</v>
      </c>
      <c r="B88" s="13" t="s">
        <v>128</v>
      </c>
      <c r="C88" s="13"/>
      <c r="D88" s="14">
        <v>4968.9399999999996</v>
      </c>
      <c r="E88" s="13"/>
      <c r="F88" s="13" t="s">
        <v>51</v>
      </c>
    </row>
    <row r="89" spans="1:6" x14ac:dyDescent="0.3">
      <c r="A89" s="21">
        <v>46086</v>
      </c>
      <c r="B89" s="13" t="s">
        <v>129</v>
      </c>
      <c r="C89" s="13"/>
      <c r="D89" s="14">
        <v>6000000</v>
      </c>
      <c r="E89" s="13"/>
      <c r="F89" s="13" t="s">
        <v>51</v>
      </c>
    </row>
    <row r="90" spans="1:6" x14ac:dyDescent="0.3">
      <c r="A90" s="21">
        <v>46086</v>
      </c>
      <c r="B90" s="13" t="s">
        <v>130</v>
      </c>
      <c r="C90" s="14">
        <v>1249500</v>
      </c>
      <c r="D90" s="13"/>
      <c r="E90" s="13"/>
      <c r="F90" s="13" t="s">
        <v>131</v>
      </c>
    </row>
    <row r="91" spans="1:6" x14ac:dyDescent="0.3">
      <c r="A91" s="21">
        <v>46086</v>
      </c>
      <c r="B91" s="13" t="s">
        <v>66</v>
      </c>
      <c r="C91" s="14">
        <v>31677.38</v>
      </c>
      <c r="D91" s="13"/>
      <c r="E91" s="13"/>
      <c r="F91" s="13" t="s">
        <v>31</v>
      </c>
    </row>
    <row r="92" spans="1:6" x14ac:dyDescent="0.3">
      <c r="A92" s="21">
        <v>46086</v>
      </c>
      <c r="B92" s="13" t="s">
        <v>65</v>
      </c>
      <c r="C92" s="14">
        <v>46159.26</v>
      </c>
      <c r="D92" s="13"/>
      <c r="E92" s="13"/>
      <c r="F92" s="13" t="s">
        <v>29</v>
      </c>
    </row>
    <row r="93" spans="1:6" x14ac:dyDescent="0.3">
      <c r="A93" s="21">
        <v>46086</v>
      </c>
      <c r="B93" s="13" t="s">
        <v>132</v>
      </c>
      <c r="C93" s="14">
        <v>120</v>
      </c>
      <c r="D93" s="13"/>
      <c r="E93" s="13"/>
      <c r="F93" s="13" t="s">
        <v>33</v>
      </c>
    </row>
    <row r="94" spans="1:6" x14ac:dyDescent="0.3">
      <c r="A94" s="21">
        <v>46086</v>
      </c>
      <c r="B94" s="13" t="s">
        <v>133</v>
      </c>
      <c r="C94" s="14">
        <v>25.2</v>
      </c>
      <c r="D94" s="13"/>
      <c r="E94" s="13"/>
      <c r="F94" s="13" t="s">
        <v>37</v>
      </c>
    </row>
    <row r="95" spans="1:6" x14ac:dyDescent="0.3">
      <c r="A95" s="21">
        <v>46086</v>
      </c>
      <c r="B95" s="13" t="s">
        <v>134</v>
      </c>
      <c r="C95" s="14">
        <v>120</v>
      </c>
      <c r="D95" s="13"/>
      <c r="E95" s="13"/>
      <c r="F95" s="13" t="s">
        <v>33</v>
      </c>
    </row>
    <row r="96" spans="1:6" x14ac:dyDescent="0.3">
      <c r="A96" s="21">
        <v>46086</v>
      </c>
      <c r="B96" s="13" t="s">
        <v>135</v>
      </c>
      <c r="C96" s="14">
        <v>25.2</v>
      </c>
      <c r="D96" s="13"/>
      <c r="E96" s="13"/>
      <c r="F96" s="13" t="s">
        <v>37</v>
      </c>
    </row>
    <row r="97" spans="1:6" x14ac:dyDescent="0.3">
      <c r="A97" s="21">
        <v>46086</v>
      </c>
      <c r="B97" s="13" t="s">
        <v>136</v>
      </c>
      <c r="C97" s="14">
        <v>720</v>
      </c>
      <c r="D97" s="13"/>
      <c r="E97" s="13"/>
      <c r="F97" s="13" t="s">
        <v>33</v>
      </c>
    </row>
    <row r="98" spans="1:6" x14ac:dyDescent="0.3">
      <c r="A98" s="21">
        <v>46086</v>
      </c>
      <c r="B98" s="13" t="s">
        <v>137</v>
      </c>
      <c r="C98" s="14">
        <v>151.19999999999999</v>
      </c>
      <c r="D98" s="13"/>
      <c r="E98" s="13"/>
      <c r="F98" s="13" t="s">
        <v>37</v>
      </c>
    </row>
    <row r="99" spans="1:6" x14ac:dyDescent="0.3">
      <c r="A99" s="21">
        <v>46086</v>
      </c>
      <c r="B99" s="13" t="s">
        <v>138</v>
      </c>
      <c r="C99" s="14">
        <v>1485</v>
      </c>
      <c r="D99" s="13"/>
      <c r="E99" s="13"/>
      <c r="F99" s="13" t="s">
        <v>33</v>
      </c>
    </row>
    <row r="100" spans="1:6" x14ac:dyDescent="0.3">
      <c r="A100" s="21">
        <v>46086</v>
      </c>
      <c r="B100" s="13" t="s">
        <v>139</v>
      </c>
      <c r="C100" s="14">
        <v>311.85000000000002</v>
      </c>
      <c r="D100" s="13"/>
      <c r="E100" s="13"/>
      <c r="F100" s="13" t="s">
        <v>37</v>
      </c>
    </row>
    <row r="101" spans="1:6" x14ac:dyDescent="0.3">
      <c r="A101" s="21">
        <v>46086</v>
      </c>
      <c r="B101" s="13" t="s">
        <v>140</v>
      </c>
      <c r="C101" s="14">
        <v>1485</v>
      </c>
      <c r="D101" s="13"/>
      <c r="E101" s="13"/>
      <c r="F101" s="13" t="s">
        <v>33</v>
      </c>
    </row>
    <row r="102" spans="1:6" x14ac:dyDescent="0.3">
      <c r="A102" s="21">
        <v>46086</v>
      </c>
      <c r="B102" s="13" t="s">
        <v>141</v>
      </c>
      <c r="C102" s="14">
        <v>311.85000000000002</v>
      </c>
      <c r="D102" s="13"/>
      <c r="E102" s="13"/>
      <c r="F102" s="13" t="s">
        <v>37</v>
      </c>
    </row>
    <row r="103" spans="1:6" x14ac:dyDescent="0.3">
      <c r="A103" s="21">
        <v>46086</v>
      </c>
      <c r="B103" s="13" t="s">
        <v>142</v>
      </c>
      <c r="C103" s="14">
        <v>1485</v>
      </c>
      <c r="D103" s="13"/>
      <c r="E103" s="13"/>
      <c r="F103" s="13" t="s">
        <v>33</v>
      </c>
    </row>
    <row r="104" spans="1:6" x14ac:dyDescent="0.3">
      <c r="A104" s="21">
        <v>46086</v>
      </c>
      <c r="B104" s="13" t="s">
        <v>143</v>
      </c>
      <c r="C104" s="14">
        <v>311.85000000000002</v>
      </c>
      <c r="D104" s="13"/>
      <c r="E104" s="13"/>
      <c r="F104" s="13" t="s">
        <v>37</v>
      </c>
    </row>
    <row r="105" spans="1:6" x14ac:dyDescent="0.3">
      <c r="A105" s="21">
        <v>46086</v>
      </c>
      <c r="B105" s="13" t="s">
        <v>144</v>
      </c>
      <c r="C105" s="14">
        <v>1485</v>
      </c>
      <c r="D105" s="13"/>
      <c r="E105" s="13"/>
      <c r="F105" s="13" t="s">
        <v>33</v>
      </c>
    </row>
    <row r="106" spans="1:6" x14ac:dyDescent="0.3">
      <c r="A106" s="21">
        <v>46086</v>
      </c>
      <c r="B106" s="13" t="s">
        <v>145</v>
      </c>
      <c r="C106" s="14">
        <v>311.85000000000002</v>
      </c>
      <c r="D106" s="13"/>
      <c r="E106" s="13"/>
      <c r="F106" s="13" t="s">
        <v>37</v>
      </c>
    </row>
    <row r="107" spans="1:6" x14ac:dyDescent="0.3">
      <c r="A107" s="21">
        <v>46086</v>
      </c>
      <c r="B107" s="13" t="s">
        <v>146</v>
      </c>
      <c r="C107" s="14">
        <v>63354.76</v>
      </c>
      <c r="D107" s="13"/>
      <c r="E107" s="13"/>
      <c r="F107" s="13" t="s">
        <v>26</v>
      </c>
    </row>
    <row r="108" spans="1:6" x14ac:dyDescent="0.3">
      <c r="A108" s="21">
        <v>46086</v>
      </c>
      <c r="B108" s="13" t="s">
        <v>147</v>
      </c>
      <c r="C108" s="14">
        <v>3668.82</v>
      </c>
      <c r="D108" s="13"/>
      <c r="E108" s="13"/>
      <c r="F108" s="13" t="s">
        <v>28</v>
      </c>
    </row>
    <row r="109" spans="1:6" x14ac:dyDescent="0.3">
      <c r="A109" s="21">
        <v>46087</v>
      </c>
      <c r="B109" s="13" t="s">
        <v>148</v>
      </c>
      <c r="C109" s="13"/>
      <c r="D109" s="14">
        <v>29445.21</v>
      </c>
      <c r="E109" s="13"/>
      <c r="F109" s="13" t="s">
        <v>51</v>
      </c>
    </row>
    <row r="110" spans="1:6" x14ac:dyDescent="0.3">
      <c r="A110" s="21">
        <v>46087</v>
      </c>
      <c r="B110" s="13" t="s">
        <v>149</v>
      </c>
      <c r="C110" s="13"/>
      <c r="D110" s="14">
        <v>65385.599999999999</v>
      </c>
      <c r="E110" s="13"/>
      <c r="F110" s="13" t="s">
        <v>51</v>
      </c>
    </row>
    <row r="111" spans="1:6" x14ac:dyDescent="0.3">
      <c r="A111" s="21">
        <v>46087</v>
      </c>
      <c r="B111" s="13" t="s">
        <v>150</v>
      </c>
      <c r="C111" s="13"/>
      <c r="D111" s="14">
        <v>692835</v>
      </c>
      <c r="E111" s="13"/>
      <c r="F111" s="13" t="s">
        <v>51</v>
      </c>
    </row>
    <row r="112" spans="1:6" x14ac:dyDescent="0.3">
      <c r="A112" s="21">
        <v>46087</v>
      </c>
      <c r="B112" s="13" t="s">
        <v>151</v>
      </c>
      <c r="C112" s="13"/>
      <c r="D112" s="14">
        <v>130791.44</v>
      </c>
      <c r="E112" s="13"/>
      <c r="F112" s="13" t="s">
        <v>51</v>
      </c>
    </row>
    <row r="113" spans="1:6" x14ac:dyDescent="0.3">
      <c r="A113" s="21">
        <v>46087</v>
      </c>
      <c r="B113" s="13" t="s">
        <v>152</v>
      </c>
      <c r="C113" s="13"/>
      <c r="D113" s="14">
        <v>14984.42</v>
      </c>
      <c r="E113" s="13"/>
      <c r="F113" s="13" t="s">
        <v>51</v>
      </c>
    </row>
    <row r="114" spans="1:6" x14ac:dyDescent="0.3">
      <c r="A114" s="21">
        <v>46087</v>
      </c>
      <c r="B114" s="13" t="s">
        <v>153</v>
      </c>
      <c r="C114" s="13"/>
      <c r="D114" s="14">
        <v>17535.62</v>
      </c>
      <c r="E114" s="13"/>
      <c r="F114" s="13" t="s">
        <v>51</v>
      </c>
    </row>
    <row r="115" spans="1:6" x14ac:dyDescent="0.3">
      <c r="A115" s="21">
        <v>46087</v>
      </c>
      <c r="B115" s="13" t="s">
        <v>154</v>
      </c>
      <c r="C115" s="13"/>
      <c r="D115" s="14">
        <v>686920.15</v>
      </c>
      <c r="E115" s="13"/>
      <c r="F115" s="13" t="s">
        <v>51</v>
      </c>
    </row>
    <row r="116" spans="1:6" x14ac:dyDescent="0.3">
      <c r="A116" s="21">
        <v>46087</v>
      </c>
      <c r="B116" s="13" t="s">
        <v>155</v>
      </c>
      <c r="C116" s="13"/>
      <c r="D116" s="14">
        <v>33984.639999999999</v>
      </c>
      <c r="E116" s="13"/>
      <c r="F116" s="13" t="s">
        <v>51</v>
      </c>
    </row>
    <row r="117" spans="1:6" x14ac:dyDescent="0.3">
      <c r="A117" s="21">
        <v>46087</v>
      </c>
      <c r="B117" s="13" t="s">
        <v>156</v>
      </c>
      <c r="C117" s="13"/>
      <c r="D117" s="14">
        <v>11188.66</v>
      </c>
      <c r="E117" s="13"/>
      <c r="F117" s="13" t="s">
        <v>51</v>
      </c>
    </row>
    <row r="118" spans="1:6" x14ac:dyDescent="0.3">
      <c r="A118" s="21">
        <v>46087</v>
      </c>
      <c r="B118" s="13" t="s">
        <v>157</v>
      </c>
      <c r="C118" s="13"/>
      <c r="D118" s="14">
        <v>3170890.8</v>
      </c>
      <c r="E118" s="13"/>
      <c r="F118" s="13" t="s">
        <v>51</v>
      </c>
    </row>
    <row r="119" spans="1:6" x14ac:dyDescent="0.3">
      <c r="A119" s="21">
        <v>46087</v>
      </c>
      <c r="B119" s="13" t="s">
        <v>158</v>
      </c>
      <c r="C119" s="14">
        <v>9000000</v>
      </c>
      <c r="D119" s="13"/>
      <c r="E119" s="13"/>
      <c r="F119" s="13" t="s">
        <v>51</v>
      </c>
    </row>
    <row r="120" spans="1:6" x14ac:dyDescent="0.3">
      <c r="A120" s="21">
        <v>46087</v>
      </c>
      <c r="B120" s="13" t="s">
        <v>159</v>
      </c>
      <c r="C120" s="13"/>
      <c r="D120" s="14">
        <v>12069.75</v>
      </c>
      <c r="E120" s="13"/>
      <c r="F120" s="13" t="s">
        <v>51</v>
      </c>
    </row>
    <row r="121" spans="1:6" x14ac:dyDescent="0.3">
      <c r="A121" s="21">
        <v>46087</v>
      </c>
      <c r="B121" s="13" t="s">
        <v>160</v>
      </c>
      <c r="C121" s="13"/>
      <c r="D121" s="14">
        <v>28606.25</v>
      </c>
      <c r="E121" s="13"/>
      <c r="F121" s="13" t="s">
        <v>51</v>
      </c>
    </row>
    <row r="122" spans="1:6" x14ac:dyDescent="0.3">
      <c r="A122" s="21">
        <v>46087</v>
      </c>
      <c r="B122" s="13" t="s">
        <v>161</v>
      </c>
      <c r="C122" s="13"/>
      <c r="D122" s="14">
        <v>26218.89</v>
      </c>
      <c r="E122" s="13"/>
      <c r="F122" s="13" t="s">
        <v>51</v>
      </c>
    </row>
    <row r="123" spans="1:6" x14ac:dyDescent="0.3">
      <c r="A123" s="21">
        <v>46087</v>
      </c>
      <c r="B123" s="13" t="s">
        <v>162</v>
      </c>
      <c r="C123" s="13"/>
      <c r="D123" s="14">
        <v>15080</v>
      </c>
      <c r="E123" s="13"/>
      <c r="F123" s="13" t="s">
        <v>51</v>
      </c>
    </row>
    <row r="124" spans="1:6" x14ac:dyDescent="0.3">
      <c r="A124" s="21">
        <v>46087</v>
      </c>
      <c r="B124" s="13" t="s">
        <v>163</v>
      </c>
      <c r="C124" s="13"/>
      <c r="D124" s="14">
        <v>2051329.44</v>
      </c>
      <c r="E124" s="13"/>
      <c r="F124" s="13" t="s">
        <v>51</v>
      </c>
    </row>
    <row r="125" spans="1:6" x14ac:dyDescent="0.3">
      <c r="A125" s="21">
        <v>46087</v>
      </c>
      <c r="B125" s="13" t="s">
        <v>65</v>
      </c>
      <c r="C125" s="14">
        <v>452.23</v>
      </c>
      <c r="D125" s="13"/>
      <c r="E125" s="13"/>
      <c r="F125" s="13" t="s">
        <v>29</v>
      </c>
    </row>
    <row r="126" spans="1:6" x14ac:dyDescent="0.3">
      <c r="A126" s="21">
        <v>46087</v>
      </c>
      <c r="B126" s="13" t="s">
        <v>66</v>
      </c>
      <c r="C126" s="14">
        <v>41923.589999999997</v>
      </c>
      <c r="D126" s="13"/>
      <c r="E126" s="13"/>
      <c r="F126" s="13" t="s">
        <v>31</v>
      </c>
    </row>
    <row r="127" spans="1:6" x14ac:dyDescent="0.3">
      <c r="A127" s="21">
        <v>46087</v>
      </c>
      <c r="B127" s="13" t="s">
        <v>164</v>
      </c>
      <c r="C127" s="14">
        <v>8158.1</v>
      </c>
      <c r="D127" s="13"/>
      <c r="E127" s="13"/>
      <c r="F127" s="13" t="s">
        <v>28</v>
      </c>
    </row>
    <row r="128" spans="1:6" x14ac:dyDescent="0.3">
      <c r="A128" s="21">
        <v>46087</v>
      </c>
      <c r="B128" s="13" t="s">
        <v>165</v>
      </c>
      <c r="C128" s="14">
        <v>83847.199999999997</v>
      </c>
      <c r="D128" s="13"/>
      <c r="E128" s="13"/>
      <c r="F128" s="13" t="s">
        <v>26</v>
      </c>
    </row>
    <row r="129" spans="1:6" x14ac:dyDescent="0.3">
      <c r="A129" s="21">
        <v>46088</v>
      </c>
      <c r="B129" s="13" t="s">
        <v>166</v>
      </c>
      <c r="C129" s="13"/>
      <c r="D129" s="14">
        <v>11110.9</v>
      </c>
      <c r="E129" s="13"/>
      <c r="F129" s="13" t="s">
        <v>51</v>
      </c>
    </row>
    <row r="130" spans="1:6" x14ac:dyDescent="0.3">
      <c r="A130" s="21">
        <v>46089</v>
      </c>
      <c r="B130" s="13" t="s">
        <v>167</v>
      </c>
      <c r="C130" s="13"/>
      <c r="D130" s="14">
        <v>9257.52</v>
      </c>
      <c r="E130" s="13"/>
      <c r="F130" s="13" t="s">
        <v>51</v>
      </c>
    </row>
    <row r="131" spans="1:6" x14ac:dyDescent="0.3">
      <c r="A131" s="21">
        <v>46090</v>
      </c>
      <c r="B131" s="13" t="s">
        <v>69</v>
      </c>
      <c r="C131" s="13"/>
      <c r="D131" s="14">
        <v>530751.65</v>
      </c>
      <c r="E131" s="13"/>
      <c r="F131" s="13" t="s">
        <v>51</v>
      </c>
    </row>
    <row r="132" spans="1:6" x14ac:dyDescent="0.3">
      <c r="A132" s="21">
        <v>46090</v>
      </c>
      <c r="B132" s="13" t="s">
        <v>70</v>
      </c>
      <c r="C132" s="13"/>
      <c r="D132" s="14">
        <v>625867.81000000006</v>
      </c>
      <c r="E132" s="13"/>
      <c r="F132" s="13" t="s">
        <v>51</v>
      </c>
    </row>
    <row r="133" spans="1:6" x14ac:dyDescent="0.3">
      <c r="A133" s="21">
        <v>46090</v>
      </c>
      <c r="B133" s="13" t="s">
        <v>72</v>
      </c>
      <c r="C133" s="14">
        <v>4381.07</v>
      </c>
      <c r="D133" s="13"/>
      <c r="E133" s="13"/>
      <c r="F133" s="13" t="s">
        <v>33</v>
      </c>
    </row>
    <row r="134" spans="1:6" x14ac:dyDescent="0.3">
      <c r="A134" s="21">
        <v>46090</v>
      </c>
      <c r="B134" s="13" t="s">
        <v>73</v>
      </c>
      <c r="C134" s="14">
        <v>219.05</v>
      </c>
      <c r="D134" s="13"/>
      <c r="E134" s="13"/>
      <c r="F134" s="13" t="s">
        <v>35</v>
      </c>
    </row>
    <row r="135" spans="1:6" x14ac:dyDescent="0.3">
      <c r="A135" s="21">
        <v>46090</v>
      </c>
      <c r="B135" s="13" t="s">
        <v>74</v>
      </c>
      <c r="C135" s="14">
        <v>920.02</v>
      </c>
      <c r="D135" s="13"/>
      <c r="E135" s="13"/>
      <c r="F135" s="13" t="s">
        <v>37</v>
      </c>
    </row>
    <row r="136" spans="1:6" x14ac:dyDescent="0.3">
      <c r="A136" s="21">
        <v>46090</v>
      </c>
      <c r="B136" s="13" t="s">
        <v>75</v>
      </c>
      <c r="C136" s="14">
        <v>131.43</v>
      </c>
      <c r="D136" s="13"/>
      <c r="E136" s="13"/>
      <c r="F136" s="13" t="s">
        <v>37</v>
      </c>
    </row>
    <row r="137" spans="1:6" x14ac:dyDescent="0.3">
      <c r="A137" s="21">
        <v>46090</v>
      </c>
      <c r="B137" s="13" t="s">
        <v>168</v>
      </c>
      <c r="C137" s="13"/>
      <c r="D137" s="14">
        <v>709282.98</v>
      </c>
      <c r="E137" s="13"/>
      <c r="F137" s="13" t="s">
        <v>51</v>
      </c>
    </row>
    <row r="138" spans="1:6" x14ac:dyDescent="0.3">
      <c r="A138" s="21">
        <v>46090</v>
      </c>
      <c r="B138" s="13" t="s">
        <v>169</v>
      </c>
      <c r="C138" s="13"/>
      <c r="D138" s="14">
        <v>119664.46</v>
      </c>
      <c r="E138" s="13"/>
      <c r="F138" s="13" t="s">
        <v>51</v>
      </c>
    </row>
    <row r="139" spans="1:6" x14ac:dyDescent="0.3">
      <c r="A139" s="21">
        <v>46090</v>
      </c>
      <c r="B139" s="13" t="s">
        <v>170</v>
      </c>
      <c r="C139" s="13"/>
      <c r="D139" s="14">
        <v>383868.6</v>
      </c>
      <c r="E139" s="13"/>
      <c r="F139" s="13" t="s">
        <v>51</v>
      </c>
    </row>
    <row r="140" spans="1:6" x14ac:dyDescent="0.3">
      <c r="A140" s="21">
        <v>46090</v>
      </c>
      <c r="B140" s="13" t="s">
        <v>171</v>
      </c>
      <c r="C140" s="14">
        <v>26415466.68</v>
      </c>
      <c r="D140" s="13"/>
      <c r="E140" s="13"/>
      <c r="F140" s="13" t="s">
        <v>51</v>
      </c>
    </row>
    <row r="141" spans="1:6" x14ac:dyDescent="0.3">
      <c r="A141" s="21">
        <v>46090</v>
      </c>
      <c r="B141" s="13" t="s">
        <v>172</v>
      </c>
      <c r="C141" s="14">
        <v>99627.86</v>
      </c>
      <c r="D141" s="13"/>
      <c r="E141" s="13"/>
      <c r="F141" s="13" t="s">
        <v>51</v>
      </c>
    </row>
    <row r="142" spans="1:6" x14ac:dyDescent="0.3">
      <c r="A142" s="21">
        <v>46090</v>
      </c>
      <c r="B142" s="13" t="s">
        <v>173</v>
      </c>
      <c r="C142" s="13"/>
      <c r="D142" s="14">
        <v>4203.18</v>
      </c>
      <c r="E142" s="13"/>
      <c r="F142" s="13" t="s">
        <v>51</v>
      </c>
    </row>
    <row r="143" spans="1:6" x14ac:dyDescent="0.3">
      <c r="A143" s="21">
        <v>46090</v>
      </c>
      <c r="B143" s="13" t="s">
        <v>174</v>
      </c>
      <c r="C143" s="14">
        <v>124614</v>
      </c>
      <c r="D143" s="13"/>
      <c r="E143" s="13"/>
      <c r="F143" s="13" t="s">
        <v>51</v>
      </c>
    </row>
    <row r="144" spans="1:6" x14ac:dyDescent="0.3">
      <c r="A144" s="21">
        <v>46090</v>
      </c>
      <c r="B144" s="13" t="s">
        <v>175</v>
      </c>
      <c r="C144" s="13"/>
      <c r="D144" s="14">
        <v>1221564</v>
      </c>
      <c r="E144" s="13"/>
      <c r="F144" s="13" t="s">
        <v>51</v>
      </c>
    </row>
    <row r="145" spans="1:6" x14ac:dyDescent="0.3">
      <c r="A145" s="21">
        <v>46090</v>
      </c>
      <c r="B145" s="13" t="s">
        <v>176</v>
      </c>
      <c r="C145" s="13"/>
      <c r="D145" s="14">
        <v>276530.8</v>
      </c>
      <c r="E145" s="13"/>
      <c r="F145" s="13" t="s">
        <v>51</v>
      </c>
    </row>
    <row r="146" spans="1:6" x14ac:dyDescent="0.3">
      <c r="A146" s="21">
        <v>46090</v>
      </c>
      <c r="B146" s="13" t="s">
        <v>177</v>
      </c>
      <c r="C146" s="13"/>
      <c r="D146" s="14">
        <v>7417</v>
      </c>
      <c r="E146" s="13"/>
      <c r="F146" s="13" t="s">
        <v>51</v>
      </c>
    </row>
    <row r="147" spans="1:6" x14ac:dyDescent="0.3">
      <c r="A147" s="21">
        <v>46090</v>
      </c>
      <c r="B147" s="13" t="s">
        <v>178</v>
      </c>
      <c r="C147" s="13"/>
      <c r="D147" s="14">
        <v>20030.88</v>
      </c>
      <c r="E147" s="13"/>
      <c r="F147" s="13" t="s">
        <v>51</v>
      </c>
    </row>
    <row r="148" spans="1:6" x14ac:dyDescent="0.3">
      <c r="A148" s="21">
        <v>46090</v>
      </c>
      <c r="B148" s="13" t="s">
        <v>179</v>
      </c>
      <c r="C148" s="13"/>
      <c r="D148" s="14">
        <v>23500000</v>
      </c>
      <c r="E148" s="13"/>
      <c r="F148" s="13" t="s">
        <v>51</v>
      </c>
    </row>
    <row r="149" spans="1:6" x14ac:dyDescent="0.3">
      <c r="A149" s="21">
        <v>46090</v>
      </c>
      <c r="B149" s="13" t="s">
        <v>64</v>
      </c>
      <c r="C149" s="13"/>
      <c r="D149" s="14">
        <v>597001.80000000005</v>
      </c>
      <c r="E149" s="13"/>
      <c r="F149" s="13" t="s">
        <v>51</v>
      </c>
    </row>
    <row r="150" spans="1:6" x14ac:dyDescent="0.3">
      <c r="A150" s="21">
        <v>46090</v>
      </c>
      <c r="B150" s="13" t="s">
        <v>65</v>
      </c>
      <c r="C150" s="14">
        <v>160424.19</v>
      </c>
      <c r="D150" s="13"/>
      <c r="E150" s="13"/>
      <c r="F150" s="13" t="s">
        <v>29</v>
      </c>
    </row>
    <row r="151" spans="1:6" x14ac:dyDescent="0.3">
      <c r="A151" s="21">
        <v>46090</v>
      </c>
      <c r="B151" s="13" t="s">
        <v>66</v>
      </c>
      <c r="C151" s="14">
        <v>27099.32</v>
      </c>
      <c r="D151" s="13"/>
      <c r="E151" s="13"/>
      <c r="F151" s="13" t="s">
        <v>31</v>
      </c>
    </row>
    <row r="152" spans="1:6" x14ac:dyDescent="0.3">
      <c r="A152" s="21">
        <v>46090</v>
      </c>
      <c r="B152" s="13" t="s">
        <v>180</v>
      </c>
      <c r="C152" s="14">
        <v>720</v>
      </c>
      <c r="D152" s="13"/>
      <c r="E152" s="13"/>
      <c r="F152" s="13" t="s">
        <v>33</v>
      </c>
    </row>
    <row r="153" spans="1:6" x14ac:dyDescent="0.3">
      <c r="A153" s="21">
        <v>46090</v>
      </c>
      <c r="B153" s="13" t="s">
        <v>181</v>
      </c>
      <c r="C153" s="14">
        <v>151.19999999999999</v>
      </c>
      <c r="D153" s="13"/>
      <c r="E153" s="13"/>
      <c r="F153" s="13" t="s">
        <v>37</v>
      </c>
    </row>
    <row r="154" spans="1:6" x14ac:dyDescent="0.3">
      <c r="A154" s="21">
        <v>46090</v>
      </c>
      <c r="B154" s="13" t="s">
        <v>182</v>
      </c>
      <c r="C154" s="14">
        <v>54198.61</v>
      </c>
      <c r="D154" s="13"/>
      <c r="E154" s="13"/>
      <c r="F154" s="13" t="s">
        <v>26</v>
      </c>
    </row>
    <row r="155" spans="1:6" x14ac:dyDescent="0.3">
      <c r="A155" s="21">
        <v>46090</v>
      </c>
      <c r="B155" s="13" t="s">
        <v>183</v>
      </c>
      <c r="C155" s="14">
        <v>4093.28</v>
      </c>
      <c r="D155" s="13"/>
      <c r="E155" s="13"/>
      <c r="F155" s="13" t="s">
        <v>28</v>
      </c>
    </row>
    <row r="156" spans="1:6" x14ac:dyDescent="0.3">
      <c r="A156" s="21">
        <v>46091</v>
      </c>
      <c r="B156" s="13" t="s">
        <v>69</v>
      </c>
      <c r="C156" s="13"/>
      <c r="D156" s="14">
        <v>225561.43</v>
      </c>
      <c r="E156" s="13"/>
      <c r="F156" s="13" t="s">
        <v>51</v>
      </c>
    </row>
    <row r="157" spans="1:6" x14ac:dyDescent="0.3">
      <c r="A157" s="21">
        <v>46091</v>
      </c>
      <c r="B157" s="13" t="s">
        <v>184</v>
      </c>
      <c r="C157" s="13"/>
      <c r="D157" s="14">
        <v>590000</v>
      </c>
      <c r="E157" s="13"/>
      <c r="F157" s="13" t="s">
        <v>51</v>
      </c>
    </row>
    <row r="158" spans="1:6" x14ac:dyDescent="0.3">
      <c r="A158" s="21">
        <v>46091</v>
      </c>
      <c r="B158" s="13" t="s">
        <v>185</v>
      </c>
      <c r="C158" s="13"/>
      <c r="D158" s="14">
        <v>58802.63</v>
      </c>
      <c r="E158" s="13"/>
      <c r="F158" s="13" t="s">
        <v>51</v>
      </c>
    </row>
    <row r="159" spans="1:6" x14ac:dyDescent="0.3">
      <c r="A159" s="21">
        <v>46091</v>
      </c>
      <c r="B159" s="13" t="s">
        <v>186</v>
      </c>
      <c r="C159" s="14">
        <v>17695</v>
      </c>
      <c r="D159" s="13"/>
      <c r="E159" s="13"/>
      <c r="F159" s="13" t="s">
        <v>53</v>
      </c>
    </row>
    <row r="160" spans="1:6" x14ac:dyDescent="0.3">
      <c r="A160" s="21">
        <v>46091</v>
      </c>
      <c r="B160" s="13" t="s">
        <v>72</v>
      </c>
      <c r="C160" s="14">
        <v>8260</v>
      </c>
      <c r="D160" s="13"/>
      <c r="E160" s="13"/>
      <c r="F160" s="13" t="s">
        <v>33</v>
      </c>
    </row>
    <row r="161" spans="1:6" x14ac:dyDescent="0.3">
      <c r="A161" s="21">
        <v>46091</v>
      </c>
      <c r="B161" s="13" t="s">
        <v>73</v>
      </c>
      <c r="C161" s="14">
        <v>413</v>
      </c>
      <c r="D161" s="13"/>
      <c r="E161" s="13"/>
      <c r="F161" s="13" t="s">
        <v>35</v>
      </c>
    </row>
    <row r="162" spans="1:6" x14ac:dyDescent="0.3">
      <c r="A162" s="21">
        <v>46091</v>
      </c>
      <c r="B162" s="13" t="s">
        <v>74</v>
      </c>
      <c r="C162" s="14">
        <v>1734.6</v>
      </c>
      <c r="D162" s="13"/>
      <c r="E162" s="13"/>
      <c r="F162" s="13" t="s">
        <v>37</v>
      </c>
    </row>
    <row r="163" spans="1:6" x14ac:dyDescent="0.3">
      <c r="A163" s="21">
        <v>46091</v>
      </c>
      <c r="B163" s="13" t="s">
        <v>75</v>
      </c>
      <c r="C163" s="14">
        <v>247.8</v>
      </c>
      <c r="D163" s="13"/>
      <c r="E163" s="13"/>
      <c r="F163" s="13" t="s">
        <v>37</v>
      </c>
    </row>
    <row r="164" spans="1:6" x14ac:dyDescent="0.3">
      <c r="A164" s="21">
        <v>46091</v>
      </c>
      <c r="B164" s="13" t="s">
        <v>187</v>
      </c>
      <c r="C164" s="13"/>
      <c r="D164" s="14">
        <v>1024647.4</v>
      </c>
      <c r="E164" s="13"/>
      <c r="F164" s="13" t="s">
        <v>51</v>
      </c>
    </row>
    <row r="165" spans="1:6" x14ac:dyDescent="0.3">
      <c r="A165" s="21">
        <v>46091</v>
      </c>
      <c r="B165" s="13" t="s">
        <v>188</v>
      </c>
      <c r="C165" s="13"/>
      <c r="D165" s="14">
        <v>253589.73</v>
      </c>
      <c r="E165" s="13"/>
      <c r="F165" s="13" t="s">
        <v>51</v>
      </c>
    </row>
    <row r="166" spans="1:6" x14ac:dyDescent="0.3">
      <c r="A166" s="21">
        <v>46091</v>
      </c>
      <c r="B166" s="13" t="s">
        <v>189</v>
      </c>
      <c r="C166" s="13"/>
      <c r="D166" s="14">
        <v>236436.76</v>
      </c>
      <c r="E166" s="13"/>
      <c r="F166" s="13" t="s">
        <v>51</v>
      </c>
    </row>
    <row r="167" spans="1:6" x14ac:dyDescent="0.3">
      <c r="A167" s="21">
        <v>46091</v>
      </c>
      <c r="B167" s="13" t="s">
        <v>190</v>
      </c>
      <c r="C167" s="14">
        <v>70000000</v>
      </c>
      <c r="D167" s="13"/>
      <c r="E167" s="13"/>
      <c r="F167" s="13" t="s">
        <v>51</v>
      </c>
    </row>
    <row r="168" spans="1:6" x14ac:dyDescent="0.3">
      <c r="A168" s="21">
        <v>46091</v>
      </c>
      <c r="B168" s="13" t="s">
        <v>191</v>
      </c>
      <c r="C168" s="13"/>
      <c r="D168" s="14">
        <v>929482.2</v>
      </c>
      <c r="E168" s="13"/>
      <c r="F168" s="13" t="s">
        <v>51</v>
      </c>
    </row>
    <row r="169" spans="1:6" x14ac:dyDescent="0.3">
      <c r="A169" s="21">
        <v>46091</v>
      </c>
      <c r="B169" s="13" t="s">
        <v>192</v>
      </c>
      <c r="C169" s="13"/>
      <c r="D169" s="14">
        <v>100000000</v>
      </c>
      <c r="E169" s="13"/>
      <c r="F169" s="13" t="s">
        <v>51</v>
      </c>
    </row>
    <row r="170" spans="1:6" x14ac:dyDescent="0.3">
      <c r="A170" s="21">
        <v>46091</v>
      </c>
      <c r="B170" s="13" t="s">
        <v>193</v>
      </c>
      <c r="C170" s="13"/>
      <c r="D170" s="14">
        <v>1000000</v>
      </c>
      <c r="E170" s="13"/>
      <c r="F170" s="13" t="s">
        <v>51</v>
      </c>
    </row>
    <row r="171" spans="1:6" x14ac:dyDescent="0.3">
      <c r="A171" s="21">
        <v>46091</v>
      </c>
      <c r="B171" s="13" t="s">
        <v>194</v>
      </c>
      <c r="C171" s="13"/>
      <c r="D171" s="14">
        <v>1000000</v>
      </c>
      <c r="E171" s="13"/>
      <c r="F171" s="13" t="s">
        <v>51</v>
      </c>
    </row>
    <row r="172" spans="1:6" x14ac:dyDescent="0.3">
      <c r="A172" s="21">
        <v>46091</v>
      </c>
      <c r="B172" s="13" t="s">
        <v>195</v>
      </c>
      <c r="C172" s="14">
        <v>100000000</v>
      </c>
      <c r="D172" s="13"/>
      <c r="E172" s="13"/>
      <c r="F172" s="13" t="s">
        <v>51</v>
      </c>
    </row>
    <row r="173" spans="1:6" x14ac:dyDescent="0.3">
      <c r="A173" s="21">
        <v>46091</v>
      </c>
      <c r="B173" s="13" t="s">
        <v>196</v>
      </c>
      <c r="C173" s="14">
        <v>866549.56</v>
      </c>
      <c r="D173" s="13"/>
      <c r="E173" s="13"/>
      <c r="F173" s="13" t="s">
        <v>51</v>
      </c>
    </row>
    <row r="174" spans="1:6" x14ac:dyDescent="0.3">
      <c r="A174" s="21">
        <v>46091</v>
      </c>
      <c r="B174" s="13" t="s">
        <v>197</v>
      </c>
      <c r="C174" s="14">
        <v>121416.31</v>
      </c>
      <c r="D174" s="13"/>
      <c r="E174" s="13"/>
      <c r="F174" s="13" t="s">
        <v>51</v>
      </c>
    </row>
    <row r="175" spans="1:6" x14ac:dyDescent="0.3">
      <c r="A175" s="21">
        <v>46091</v>
      </c>
      <c r="B175" s="13" t="s">
        <v>198</v>
      </c>
      <c r="C175" s="14">
        <v>221006.25</v>
      </c>
      <c r="D175" s="13"/>
      <c r="E175" s="13"/>
      <c r="F175" s="13" t="s">
        <v>51</v>
      </c>
    </row>
    <row r="176" spans="1:6" x14ac:dyDescent="0.3">
      <c r="A176" s="21">
        <v>46091</v>
      </c>
      <c r="B176" s="13" t="s">
        <v>199</v>
      </c>
      <c r="C176" s="14">
        <v>559668.68000000005</v>
      </c>
      <c r="D176" s="13"/>
      <c r="E176" s="13"/>
      <c r="F176" s="13" t="s">
        <v>51</v>
      </c>
    </row>
    <row r="177" spans="1:6" x14ac:dyDescent="0.3">
      <c r="A177" s="21">
        <v>46091</v>
      </c>
      <c r="B177" s="13" t="s">
        <v>200</v>
      </c>
      <c r="C177" s="14">
        <v>177000</v>
      </c>
      <c r="D177" s="13"/>
      <c r="E177" s="13"/>
      <c r="F177" s="13" t="s">
        <v>51</v>
      </c>
    </row>
    <row r="178" spans="1:6" x14ac:dyDescent="0.3">
      <c r="A178" s="21">
        <v>46091</v>
      </c>
      <c r="B178" s="13" t="s">
        <v>201</v>
      </c>
      <c r="C178" s="14">
        <v>155000</v>
      </c>
      <c r="D178" s="13"/>
      <c r="E178" s="13"/>
      <c r="F178" s="13" t="s">
        <v>51</v>
      </c>
    </row>
    <row r="179" spans="1:6" x14ac:dyDescent="0.3">
      <c r="A179" s="21">
        <v>46091</v>
      </c>
      <c r="B179" s="13" t="s">
        <v>202</v>
      </c>
      <c r="C179" s="14">
        <v>131594.76</v>
      </c>
      <c r="D179" s="13"/>
      <c r="E179" s="13"/>
      <c r="F179" s="13" t="s">
        <v>51</v>
      </c>
    </row>
    <row r="180" spans="1:6" x14ac:dyDescent="0.3">
      <c r="A180" s="21">
        <v>46091</v>
      </c>
      <c r="B180" s="13" t="s">
        <v>203</v>
      </c>
      <c r="C180" s="14">
        <v>110958.19</v>
      </c>
      <c r="D180" s="13"/>
      <c r="E180" s="13"/>
      <c r="F180" s="13" t="s">
        <v>51</v>
      </c>
    </row>
    <row r="181" spans="1:6" x14ac:dyDescent="0.3">
      <c r="A181" s="21">
        <v>46091</v>
      </c>
      <c r="B181" s="13" t="s">
        <v>204</v>
      </c>
      <c r="C181" s="14">
        <v>28484.75</v>
      </c>
      <c r="D181" s="13"/>
      <c r="E181" s="13"/>
      <c r="F181" s="13" t="s">
        <v>51</v>
      </c>
    </row>
    <row r="182" spans="1:6" x14ac:dyDescent="0.3">
      <c r="A182" s="21">
        <v>46091</v>
      </c>
      <c r="B182" s="13" t="s">
        <v>205</v>
      </c>
      <c r="C182" s="14">
        <v>39649.050000000003</v>
      </c>
      <c r="D182" s="13"/>
      <c r="E182" s="13"/>
      <c r="F182" s="13" t="s">
        <v>51</v>
      </c>
    </row>
    <row r="183" spans="1:6" x14ac:dyDescent="0.3">
      <c r="A183" s="21">
        <v>46091</v>
      </c>
      <c r="B183" s="13" t="s">
        <v>206</v>
      </c>
      <c r="C183" s="14">
        <v>115531.85</v>
      </c>
      <c r="D183" s="13"/>
      <c r="E183" s="13"/>
      <c r="F183" s="13" t="s">
        <v>51</v>
      </c>
    </row>
    <row r="184" spans="1:6" x14ac:dyDescent="0.3">
      <c r="A184" s="21">
        <v>46091</v>
      </c>
      <c r="B184" s="13" t="s">
        <v>207</v>
      </c>
      <c r="C184" s="14">
        <v>30594.97</v>
      </c>
      <c r="D184" s="13"/>
      <c r="E184" s="13"/>
      <c r="F184" s="13" t="s">
        <v>51</v>
      </c>
    </row>
    <row r="185" spans="1:6" x14ac:dyDescent="0.3">
      <c r="A185" s="21">
        <v>46091</v>
      </c>
      <c r="B185" s="13" t="s">
        <v>208</v>
      </c>
      <c r="C185" s="14">
        <v>1545864.54</v>
      </c>
      <c r="D185" s="13"/>
      <c r="E185" s="13"/>
      <c r="F185" s="13" t="s">
        <v>51</v>
      </c>
    </row>
    <row r="186" spans="1:6" x14ac:dyDescent="0.3">
      <c r="A186" s="21">
        <v>46091</v>
      </c>
      <c r="B186" s="13" t="s">
        <v>209</v>
      </c>
      <c r="C186" s="14">
        <v>292327.03999999998</v>
      </c>
      <c r="D186" s="13"/>
      <c r="E186" s="13"/>
      <c r="F186" s="13" t="s">
        <v>51</v>
      </c>
    </row>
    <row r="187" spans="1:6" x14ac:dyDescent="0.3">
      <c r="A187" s="21">
        <v>46091</v>
      </c>
      <c r="B187" s="13" t="s">
        <v>210</v>
      </c>
      <c r="C187" s="14">
        <v>404268.98</v>
      </c>
      <c r="D187" s="13"/>
      <c r="E187" s="13"/>
      <c r="F187" s="13" t="s">
        <v>51</v>
      </c>
    </row>
    <row r="188" spans="1:6" x14ac:dyDescent="0.3">
      <c r="A188" s="21">
        <v>46091</v>
      </c>
      <c r="B188" s="13" t="s">
        <v>211</v>
      </c>
      <c r="C188" s="14">
        <v>84000</v>
      </c>
      <c r="D188" s="13"/>
      <c r="E188" s="13"/>
      <c r="F188" s="13" t="s">
        <v>51</v>
      </c>
    </row>
    <row r="189" spans="1:6" x14ac:dyDescent="0.3">
      <c r="A189" s="21">
        <v>46091</v>
      </c>
      <c r="B189" s="13" t="s">
        <v>212</v>
      </c>
      <c r="C189" s="14">
        <v>459242.49</v>
      </c>
      <c r="D189" s="13"/>
      <c r="E189" s="13"/>
      <c r="F189" s="13" t="s">
        <v>51</v>
      </c>
    </row>
    <row r="190" spans="1:6" x14ac:dyDescent="0.3">
      <c r="A190" s="21">
        <v>46091</v>
      </c>
      <c r="B190" s="13" t="s">
        <v>213</v>
      </c>
      <c r="C190" s="14">
        <v>862730</v>
      </c>
      <c r="D190" s="13"/>
      <c r="E190" s="13"/>
      <c r="F190" s="13" t="s">
        <v>51</v>
      </c>
    </row>
    <row r="191" spans="1:6" x14ac:dyDescent="0.3">
      <c r="A191" s="21">
        <v>46091</v>
      </c>
      <c r="B191" s="13" t="s">
        <v>214</v>
      </c>
      <c r="C191" s="14">
        <v>649197.59</v>
      </c>
      <c r="D191" s="13"/>
      <c r="E191" s="13"/>
      <c r="F191" s="13" t="s">
        <v>51</v>
      </c>
    </row>
    <row r="192" spans="1:6" x14ac:dyDescent="0.3">
      <c r="A192" s="21">
        <v>46091</v>
      </c>
      <c r="B192" s="13" t="s">
        <v>215</v>
      </c>
      <c r="C192" s="14">
        <v>851003.8</v>
      </c>
      <c r="D192" s="13"/>
      <c r="E192" s="13"/>
      <c r="F192" s="13" t="s">
        <v>51</v>
      </c>
    </row>
    <row r="193" spans="1:6" x14ac:dyDescent="0.3">
      <c r="A193" s="21">
        <v>46091</v>
      </c>
      <c r="B193" s="13" t="s">
        <v>216</v>
      </c>
      <c r="C193" s="14">
        <v>67157.399999999994</v>
      </c>
      <c r="D193" s="13"/>
      <c r="E193" s="13"/>
      <c r="F193" s="13" t="s">
        <v>51</v>
      </c>
    </row>
    <row r="194" spans="1:6" x14ac:dyDescent="0.3">
      <c r="A194" s="21">
        <v>46091</v>
      </c>
      <c r="B194" s="13" t="s">
        <v>217</v>
      </c>
      <c r="C194" s="13"/>
      <c r="D194" s="14">
        <v>548459.80000000005</v>
      </c>
      <c r="E194" s="13"/>
      <c r="F194" s="13" t="s">
        <v>51</v>
      </c>
    </row>
    <row r="195" spans="1:6" x14ac:dyDescent="0.3">
      <c r="A195" s="21">
        <v>46091</v>
      </c>
      <c r="B195" s="13" t="s">
        <v>218</v>
      </c>
      <c r="C195" s="13"/>
      <c r="D195" s="14">
        <v>23858.03</v>
      </c>
      <c r="E195" s="13"/>
      <c r="F195" s="13" t="s">
        <v>51</v>
      </c>
    </row>
    <row r="196" spans="1:6" x14ac:dyDescent="0.3">
      <c r="A196" s="21">
        <v>46091</v>
      </c>
      <c r="B196" s="13" t="s">
        <v>219</v>
      </c>
      <c r="C196" s="13"/>
      <c r="D196" s="14">
        <v>718310.78</v>
      </c>
      <c r="E196" s="13"/>
      <c r="F196" s="13" t="s">
        <v>51</v>
      </c>
    </row>
    <row r="197" spans="1:6" x14ac:dyDescent="0.3">
      <c r="A197" s="21">
        <v>46091</v>
      </c>
      <c r="B197" s="13" t="s">
        <v>220</v>
      </c>
      <c r="C197" s="13"/>
      <c r="D197" s="14">
        <v>13001.79</v>
      </c>
      <c r="E197" s="13"/>
      <c r="F197" s="13" t="s">
        <v>51</v>
      </c>
    </row>
    <row r="198" spans="1:6" x14ac:dyDescent="0.3">
      <c r="A198" s="21">
        <v>46091</v>
      </c>
      <c r="B198" s="13" t="s">
        <v>221</v>
      </c>
      <c r="C198" s="13"/>
      <c r="D198" s="14">
        <v>26894.33</v>
      </c>
      <c r="E198" s="13"/>
      <c r="F198" s="13" t="s">
        <v>51</v>
      </c>
    </row>
    <row r="199" spans="1:6" x14ac:dyDescent="0.3">
      <c r="A199" s="21">
        <v>46091</v>
      </c>
      <c r="B199" s="13" t="s">
        <v>222</v>
      </c>
      <c r="C199" s="13"/>
      <c r="D199" s="14">
        <v>71602999.769999996</v>
      </c>
      <c r="E199" s="13"/>
      <c r="F199" s="13" t="s">
        <v>51</v>
      </c>
    </row>
    <row r="200" spans="1:6" x14ac:dyDescent="0.3">
      <c r="A200" s="21">
        <v>46091</v>
      </c>
      <c r="B200" s="13" t="s">
        <v>223</v>
      </c>
      <c r="C200" s="14">
        <v>47296</v>
      </c>
      <c r="D200" s="13"/>
      <c r="E200" s="13"/>
      <c r="F200" s="13" t="s">
        <v>51</v>
      </c>
    </row>
    <row r="201" spans="1:6" x14ac:dyDescent="0.3">
      <c r="A201" s="21">
        <v>46091</v>
      </c>
      <c r="B201" s="13" t="s">
        <v>224</v>
      </c>
      <c r="C201" s="14">
        <v>74322</v>
      </c>
      <c r="D201" s="13"/>
      <c r="E201" s="13"/>
      <c r="F201" s="13" t="s">
        <v>51</v>
      </c>
    </row>
    <row r="202" spans="1:6" x14ac:dyDescent="0.3">
      <c r="A202" s="21">
        <v>46091</v>
      </c>
      <c r="B202" s="13" t="s">
        <v>225</v>
      </c>
      <c r="C202" s="14">
        <v>62038</v>
      </c>
      <c r="D202" s="13"/>
      <c r="E202" s="13"/>
      <c r="F202" s="13" t="s">
        <v>51</v>
      </c>
    </row>
    <row r="203" spans="1:6" x14ac:dyDescent="0.3">
      <c r="A203" s="21">
        <v>46091</v>
      </c>
      <c r="B203" s="13" t="s">
        <v>226</v>
      </c>
      <c r="C203" s="14">
        <v>70023</v>
      </c>
      <c r="D203" s="13"/>
      <c r="E203" s="13"/>
      <c r="F203" s="13" t="s">
        <v>51</v>
      </c>
    </row>
    <row r="204" spans="1:6" x14ac:dyDescent="0.3">
      <c r="A204" s="21">
        <v>46091</v>
      </c>
      <c r="B204" s="13" t="s">
        <v>227</v>
      </c>
      <c r="C204" s="14">
        <v>73708</v>
      </c>
      <c r="D204" s="13"/>
      <c r="E204" s="13"/>
      <c r="F204" s="13" t="s">
        <v>51</v>
      </c>
    </row>
    <row r="205" spans="1:6" x14ac:dyDescent="0.3">
      <c r="A205" s="21">
        <v>46091</v>
      </c>
      <c r="B205" s="13" t="s">
        <v>228</v>
      </c>
      <c r="C205" s="14">
        <v>70637</v>
      </c>
      <c r="D205" s="13"/>
      <c r="E205" s="13"/>
      <c r="F205" s="13" t="s">
        <v>51</v>
      </c>
    </row>
    <row r="206" spans="1:6" x14ac:dyDescent="0.3">
      <c r="A206" s="21">
        <v>46091</v>
      </c>
      <c r="B206" s="13" t="s">
        <v>229</v>
      </c>
      <c r="C206" s="14">
        <v>73094</v>
      </c>
      <c r="D206" s="13"/>
      <c r="E206" s="13"/>
      <c r="F206" s="13" t="s">
        <v>51</v>
      </c>
    </row>
    <row r="207" spans="1:6" x14ac:dyDescent="0.3">
      <c r="A207" s="21">
        <v>46091</v>
      </c>
      <c r="B207" s="13" t="s">
        <v>230</v>
      </c>
      <c r="C207" s="14">
        <v>61424</v>
      </c>
      <c r="D207" s="13"/>
      <c r="E207" s="13"/>
      <c r="F207" s="13" t="s">
        <v>51</v>
      </c>
    </row>
    <row r="208" spans="1:6" x14ac:dyDescent="0.3">
      <c r="A208" s="21">
        <v>46091</v>
      </c>
      <c r="B208" s="13" t="s">
        <v>231</v>
      </c>
      <c r="C208" s="14">
        <v>70023</v>
      </c>
      <c r="D208" s="13"/>
      <c r="E208" s="13"/>
      <c r="F208" s="13" t="s">
        <v>51</v>
      </c>
    </row>
    <row r="209" spans="1:6" x14ac:dyDescent="0.3">
      <c r="A209" s="21">
        <v>46091</v>
      </c>
      <c r="B209" s="13" t="s">
        <v>232</v>
      </c>
      <c r="C209" s="14">
        <v>62038</v>
      </c>
      <c r="D209" s="13"/>
      <c r="E209" s="13"/>
      <c r="F209" s="13" t="s">
        <v>51</v>
      </c>
    </row>
    <row r="210" spans="1:6" x14ac:dyDescent="0.3">
      <c r="A210" s="21">
        <v>46091</v>
      </c>
      <c r="B210" s="13" t="s">
        <v>233</v>
      </c>
      <c r="C210" s="14">
        <v>63266</v>
      </c>
      <c r="D210" s="13"/>
      <c r="E210" s="13"/>
      <c r="F210" s="13" t="s">
        <v>51</v>
      </c>
    </row>
    <row r="211" spans="1:6" x14ac:dyDescent="0.3">
      <c r="A211" s="21">
        <v>46091</v>
      </c>
      <c r="B211" s="13" t="s">
        <v>234</v>
      </c>
      <c r="C211" s="14">
        <v>68180</v>
      </c>
      <c r="D211" s="13"/>
      <c r="E211" s="13"/>
      <c r="F211" s="13" t="s">
        <v>51</v>
      </c>
    </row>
    <row r="212" spans="1:6" x14ac:dyDescent="0.3">
      <c r="A212" s="21">
        <v>46091</v>
      </c>
      <c r="B212" s="13" t="s">
        <v>235</v>
      </c>
      <c r="C212" s="14">
        <v>63266</v>
      </c>
      <c r="D212" s="13"/>
      <c r="E212" s="13"/>
      <c r="F212" s="13" t="s">
        <v>51</v>
      </c>
    </row>
    <row r="213" spans="1:6" x14ac:dyDescent="0.3">
      <c r="A213" s="21">
        <v>46091</v>
      </c>
      <c r="B213" s="13" t="s">
        <v>236</v>
      </c>
      <c r="C213" s="14">
        <v>72480</v>
      </c>
      <c r="D213" s="13"/>
      <c r="E213" s="13"/>
      <c r="F213" s="13" t="s">
        <v>51</v>
      </c>
    </row>
    <row r="214" spans="1:6" x14ac:dyDescent="0.3">
      <c r="A214" s="21">
        <v>46091</v>
      </c>
      <c r="B214" s="13" t="s">
        <v>237</v>
      </c>
      <c r="C214" s="14">
        <v>68180</v>
      </c>
      <c r="D214" s="13"/>
      <c r="E214" s="13"/>
      <c r="F214" s="13" t="s">
        <v>51</v>
      </c>
    </row>
    <row r="215" spans="1:6" x14ac:dyDescent="0.3">
      <c r="A215" s="21">
        <v>46091</v>
      </c>
      <c r="B215" s="13" t="s">
        <v>238</v>
      </c>
      <c r="C215" s="14">
        <v>65109</v>
      </c>
      <c r="D215" s="13"/>
      <c r="E215" s="13"/>
      <c r="F215" s="13" t="s">
        <v>51</v>
      </c>
    </row>
    <row r="216" spans="1:6" x14ac:dyDescent="0.3">
      <c r="A216" s="21">
        <v>46091</v>
      </c>
      <c r="B216" s="13" t="s">
        <v>239</v>
      </c>
      <c r="C216" s="14">
        <v>66952</v>
      </c>
      <c r="D216" s="13"/>
      <c r="E216" s="13"/>
      <c r="F216" s="13" t="s">
        <v>51</v>
      </c>
    </row>
    <row r="217" spans="1:6" x14ac:dyDescent="0.3">
      <c r="A217" s="21">
        <v>46091</v>
      </c>
      <c r="B217" s="13" t="s">
        <v>240</v>
      </c>
      <c r="C217" s="14">
        <v>63266</v>
      </c>
      <c r="D217" s="13"/>
      <c r="E217" s="13"/>
      <c r="F217" s="13" t="s">
        <v>51</v>
      </c>
    </row>
    <row r="218" spans="1:6" x14ac:dyDescent="0.3">
      <c r="A218" s="21">
        <v>46091</v>
      </c>
      <c r="B218" s="13" t="s">
        <v>241</v>
      </c>
      <c r="C218" s="14">
        <v>67566</v>
      </c>
      <c r="D218" s="13"/>
      <c r="E218" s="13"/>
      <c r="F218" s="13" t="s">
        <v>51</v>
      </c>
    </row>
    <row r="219" spans="1:6" x14ac:dyDescent="0.3">
      <c r="A219" s="21">
        <v>46091</v>
      </c>
      <c r="B219" s="13" t="s">
        <v>242</v>
      </c>
      <c r="C219" s="14">
        <v>62038</v>
      </c>
      <c r="D219" s="13"/>
      <c r="E219" s="13"/>
      <c r="F219" s="13" t="s">
        <v>51</v>
      </c>
    </row>
    <row r="220" spans="1:6" x14ac:dyDescent="0.3">
      <c r="A220" s="21">
        <v>46091</v>
      </c>
      <c r="B220" s="13" t="s">
        <v>243</v>
      </c>
      <c r="C220" s="14">
        <v>70023</v>
      </c>
      <c r="D220" s="13"/>
      <c r="E220" s="13"/>
      <c r="F220" s="13" t="s">
        <v>51</v>
      </c>
    </row>
    <row r="221" spans="1:6" x14ac:dyDescent="0.3">
      <c r="A221" s="21">
        <v>46091</v>
      </c>
      <c r="B221" s="13" t="s">
        <v>244</v>
      </c>
      <c r="C221" s="14">
        <v>73708</v>
      </c>
      <c r="D221" s="13"/>
      <c r="E221" s="13"/>
      <c r="F221" s="13" t="s">
        <v>51</v>
      </c>
    </row>
    <row r="222" spans="1:6" x14ac:dyDescent="0.3">
      <c r="A222" s="21">
        <v>46091</v>
      </c>
      <c r="B222" s="13" t="s">
        <v>245</v>
      </c>
      <c r="C222" s="14">
        <v>18427</v>
      </c>
      <c r="D222" s="13"/>
      <c r="E222" s="13"/>
      <c r="F222" s="13" t="s">
        <v>51</v>
      </c>
    </row>
    <row r="223" spans="1:6" x14ac:dyDescent="0.3">
      <c r="A223" s="21">
        <v>46091</v>
      </c>
      <c r="B223" s="13" t="s">
        <v>65</v>
      </c>
      <c r="C223" s="14">
        <v>56086.96</v>
      </c>
      <c r="D223" s="13"/>
      <c r="E223" s="13"/>
      <c r="F223" s="13" t="s">
        <v>29</v>
      </c>
    </row>
    <row r="224" spans="1:6" x14ac:dyDescent="0.3">
      <c r="A224" s="21">
        <v>46091</v>
      </c>
      <c r="B224" s="13" t="s">
        <v>66</v>
      </c>
      <c r="C224" s="14">
        <v>627894.27</v>
      </c>
      <c r="D224" s="13"/>
      <c r="E224" s="13"/>
      <c r="F224" s="13" t="s">
        <v>31</v>
      </c>
    </row>
    <row r="225" spans="1:6" x14ac:dyDescent="0.3">
      <c r="A225" s="21">
        <v>46091</v>
      </c>
      <c r="B225" s="13" t="s">
        <v>246</v>
      </c>
      <c r="C225" s="14">
        <v>315</v>
      </c>
      <c r="D225" s="13"/>
      <c r="E225" s="13"/>
      <c r="F225" s="13" t="s">
        <v>33</v>
      </c>
    </row>
    <row r="226" spans="1:6" x14ac:dyDescent="0.3">
      <c r="A226" s="21">
        <v>46091</v>
      </c>
      <c r="B226" s="13" t="s">
        <v>247</v>
      </c>
      <c r="C226" s="14">
        <v>66.150000000000006</v>
      </c>
      <c r="D226" s="13"/>
      <c r="E226" s="13"/>
      <c r="F226" s="13" t="s">
        <v>37</v>
      </c>
    </row>
    <row r="227" spans="1:6" x14ac:dyDescent="0.3">
      <c r="A227" s="21">
        <v>46091</v>
      </c>
      <c r="B227" s="13" t="s">
        <v>248</v>
      </c>
      <c r="C227" s="14">
        <v>315</v>
      </c>
      <c r="D227" s="13"/>
      <c r="E227" s="13"/>
      <c r="F227" s="13" t="s">
        <v>33</v>
      </c>
    </row>
    <row r="228" spans="1:6" x14ac:dyDescent="0.3">
      <c r="A228" s="21">
        <v>46091</v>
      </c>
      <c r="B228" s="13" t="s">
        <v>249</v>
      </c>
      <c r="C228" s="14">
        <v>66.150000000000006</v>
      </c>
      <c r="D228" s="13"/>
      <c r="E228" s="13"/>
      <c r="F228" s="13" t="s">
        <v>37</v>
      </c>
    </row>
    <row r="229" spans="1:6" x14ac:dyDescent="0.3">
      <c r="A229" s="21">
        <v>46091</v>
      </c>
      <c r="B229" s="13" t="s">
        <v>250</v>
      </c>
      <c r="C229" s="14">
        <v>315</v>
      </c>
      <c r="D229" s="13"/>
      <c r="E229" s="13"/>
      <c r="F229" s="13" t="s">
        <v>33</v>
      </c>
    </row>
    <row r="230" spans="1:6" x14ac:dyDescent="0.3">
      <c r="A230" s="21">
        <v>46091</v>
      </c>
      <c r="B230" s="13" t="s">
        <v>251</v>
      </c>
      <c r="C230" s="14">
        <v>66.150000000000006</v>
      </c>
      <c r="D230" s="13"/>
      <c r="E230" s="13"/>
      <c r="F230" s="13" t="s">
        <v>37</v>
      </c>
    </row>
    <row r="231" spans="1:6" x14ac:dyDescent="0.3">
      <c r="A231" s="21">
        <v>46091</v>
      </c>
      <c r="B231" s="13" t="s">
        <v>252</v>
      </c>
      <c r="C231" s="14">
        <v>720</v>
      </c>
      <c r="D231" s="13"/>
      <c r="E231" s="13"/>
      <c r="F231" s="13" t="s">
        <v>33</v>
      </c>
    </row>
    <row r="232" spans="1:6" x14ac:dyDescent="0.3">
      <c r="A232" s="21">
        <v>46091</v>
      </c>
      <c r="B232" s="13" t="s">
        <v>253</v>
      </c>
      <c r="C232" s="14">
        <v>151.19999999999999</v>
      </c>
      <c r="D232" s="13"/>
      <c r="E232" s="13"/>
      <c r="F232" s="13" t="s">
        <v>37</v>
      </c>
    </row>
    <row r="233" spans="1:6" x14ac:dyDescent="0.3">
      <c r="A233" s="21">
        <v>46091</v>
      </c>
      <c r="B233" s="13" t="s">
        <v>254</v>
      </c>
      <c r="C233" s="14">
        <v>720</v>
      </c>
      <c r="D233" s="13"/>
      <c r="E233" s="13"/>
      <c r="F233" s="13" t="s">
        <v>33</v>
      </c>
    </row>
    <row r="234" spans="1:6" x14ac:dyDescent="0.3">
      <c r="A234" s="21">
        <v>46091</v>
      </c>
      <c r="B234" s="13" t="s">
        <v>255</v>
      </c>
      <c r="C234" s="14">
        <v>151.19999999999999</v>
      </c>
      <c r="D234" s="13"/>
      <c r="E234" s="13"/>
      <c r="F234" s="13" t="s">
        <v>37</v>
      </c>
    </row>
    <row r="235" spans="1:6" x14ac:dyDescent="0.3">
      <c r="A235" s="21">
        <v>46091</v>
      </c>
      <c r="B235" s="13" t="s">
        <v>256</v>
      </c>
      <c r="C235" s="14">
        <v>720</v>
      </c>
      <c r="D235" s="13"/>
      <c r="E235" s="13"/>
      <c r="F235" s="13" t="s">
        <v>33</v>
      </c>
    </row>
    <row r="236" spans="1:6" x14ac:dyDescent="0.3">
      <c r="A236" s="21">
        <v>46091</v>
      </c>
      <c r="B236" s="13" t="s">
        <v>257</v>
      </c>
      <c r="C236" s="14">
        <v>151.19999999999999</v>
      </c>
      <c r="D236" s="13"/>
      <c r="E236" s="13"/>
      <c r="F236" s="13" t="s">
        <v>37</v>
      </c>
    </row>
    <row r="237" spans="1:6" x14ac:dyDescent="0.3">
      <c r="A237" s="21">
        <v>46091</v>
      </c>
      <c r="B237" s="13" t="s">
        <v>258</v>
      </c>
      <c r="C237" s="14">
        <v>720</v>
      </c>
      <c r="D237" s="13"/>
      <c r="E237" s="13"/>
      <c r="F237" s="13" t="s">
        <v>33</v>
      </c>
    </row>
    <row r="238" spans="1:6" x14ac:dyDescent="0.3">
      <c r="A238" s="21">
        <v>46091</v>
      </c>
      <c r="B238" s="13" t="s">
        <v>259</v>
      </c>
      <c r="C238" s="14">
        <v>151.19999999999999</v>
      </c>
      <c r="D238" s="13"/>
      <c r="E238" s="13"/>
      <c r="F238" s="13" t="s">
        <v>37</v>
      </c>
    </row>
    <row r="239" spans="1:6" x14ac:dyDescent="0.3">
      <c r="A239" s="21">
        <v>46091</v>
      </c>
      <c r="B239" s="13" t="s">
        <v>260</v>
      </c>
      <c r="C239" s="14">
        <v>720</v>
      </c>
      <c r="D239" s="13"/>
      <c r="E239" s="13"/>
      <c r="F239" s="13" t="s">
        <v>33</v>
      </c>
    </row>
    <row r="240" spans="1:6" x14ac:dyDescent="0.3">
      <c r="A240" s="21">
        <v>46091</v>
      </c>
      <c r="B240" s="13" t="s">
        <v>261</v>
      </c>
      <c r="C240" s="14">
        <v>151.19999999999999</v>
      </c>
      <c r="D240" s="13"/>
      <c r="E240" s="13"/>
      <c r="F240" s="13" t="s">
        <v>37</v>
      </c>
    </row>
    <row r="241" spans="1:6" x14ac:dyDescent="0.3">
      <c r="A241" s="21">
        <v>46091</v>
      </c>
      <c r="B241" s="13" t="s">
        <v>262</v>
      </c>
      <c r="C241" s="14">
        <v>720</v>
      </c>
      <c r="D241" s="13"/>
      <c r="E241" s="13"/>
      <c r="F241" s="13" t="s">
        <v>33</v>
      </c>
    </row>
    <row r="242" spans="1:6" x14ac:dyDescent="0.3">
      <c r="A242" s="21">
        <v>46091</v>
      </c>
      <c r="B242" s="13" t="s">
        <v>263</v>
      </c>
      <c r="C242" s="14">
        <v>151.19999999999999</v>
      </c>
      <c r="D242" s="13"/>
      <c r="E242" s="13"/>
      <c r="F242" s="13" t="s">
        <v>37</v>
      </c>
    </row>
    <row r="243" spans="1:6" x14ac:dyDescent="0.3">
      <c r="A243" s="21">
        <v>46091</v>
      </c>
      <c r="B243" s="13" t="s">
        <v>264</v>
      </c>
      <c r="C243" s="14">
        <v>1485</v>
      </c>
      <c r="D243" s="13"/>
      <c r="E243" s="13"/>
      <c r="F243" s="13" t="s">
        <v>33</v>
      </c>
    </row>
    <row r="244" spans="1:6" x14ac:dyDescent="0.3">
      <c r="A244" s="21">
        <v>46091</v>
      </c>
      <c r="B244" s="13" t="s">
        <v>265</v>
      </c>
      <c r="C244" s="14">
        <v>311.85000000000002</v>
      </c>
      <c r="D244" s="13"/>
      <c r="E244" s="13"/>
      <c r="F244" s="13" t="s">
        <v>37</v>
      </c>
    </row>
    <row r="245" spans="1:6" x14ac:dyDescent="0.3">
      <c r="A245" s="21">
        <v>46091</v>
      </c>
      <c r="B245" s="13" t="s">
        <v>266</v>
      </c>
      <c r="C245" s="14">
        <v>1485</v>
      </c>
      <c r="D245" s="13"/>
      <c r="E245" s="13"/>
      <c r="F245" s="13" t="s">
        <v>33</v>
      </c>
    </row>
    <row r="246" spans="1:6" x14ac:dyDescent="0.3">
      <c r="A246" s="21">
        <v>46091</v>
      </c>
      <c r="B246" s="13" t="s">
        <v>267</v>
      </c>
      <c r="C246" s="14">
        <v>311.85000000000002</v>
      </c>
      <c r="D246" s="13"/>
      <c r="E246" s="13"/>
      <c r="F246" s="13" t="s">
        <v>37</v>
      </c>
    </row>
    <row r="247" spans="1:6" x14ac:dyDescent="0.3">
      <c r="A247" s="21">
        <v>46091</v>
      </c>
      <c r="B247" s="13" t="s">
        <v>268</v>
      </c>
      <c r="C247" s="14">
        <v>1485</v>
      </c>
      <c r="D247" s="13"/>
      <c r="E247" s="13"/>
      <c r="F247" s="13" t="s">
        <v>33</v>
      </c>
    </row>
    <row r="248" spans="1:6" x14ac:dyDescent="0.3">
      <c r="A248" s="21">
        <v>46091</v>
      </c>
      <c r="B248" s="13" t="s">
        <v>269</v>
      </c>
      <c r="C248" s="14">
        <v>311.85000000000002</v>
      </c>
      <c r="D248" s="13"/>
      <c r="E248" s="13"/>
      <c r="F248" s="13" t="s">
        <v>37</v>
      </c>
    </row>
    <row r="249" spans="1:6" x14ac:dyDescent="0.3">
      <c r="A249" s="21">
        <v>46091</v>
      </c>
      <c r="B249" s="13" t="s">
        <v>270</v>
      </c>
      <c r="C249" s="14">
        <v>1255788.55</v>
      </c>
      <c r="D249" s="13"/>
      <c r="E249" s="13"/>
      <c r="F249" s="13" t="s">
        <v>26</v>
      </c>
    </row>
    <row r="250" spans="1:6" x14ac:dyDescent="0.3">
      <c r="A250" s="21">
        <v>46091</v>
      </c>
      <c r="B250" s="13" t="s">
        <v>271</v>
      </c>
      <c r="C250" s="14">
        <v>122859.01</v>
      </c>
      <c r="D250" s="13"/>
      <c r="E250" s="13"/>
      <c r="F250" s="13" t="s">
        <v>28</v>
      </c>
    </row>
    <row r="251" spans="1:6" x14ac:dyDescent="0.3">
      <c r="A251" s="21">
        <v>46092</v>
      </c>
      <c r="B251" s="13" t="s">
        <v>272</v>
      </c>
      <c r="C251" s="13"/>
      <c r="D251" s="14">
        <v>306000.05</v>
      </c>
      <c r="E251" s="13"/>
      <c r="F251" s="13" t="s">
        <v>51</v>
      </c>
    </row>
    <row r="252" spans="1:6" x14ac:dyDescent="0.3">
      <c r="A252" s="21">
        <v>46092</v>
      </c>
      <c r="B252" s="13" t="s">
        <v>273</v>
      </c>
      <c r="C252" s="14">
        <v>98555.03</v>
      </c>
      <c r="D252" s="13"/>
      <c r="E252" s="13"/>
      <c r="F252" s="13" t="s">
        <v>53</v>
      </c>
    </row>
    <row r="253" spans="1:6" x14ac:dyDescent="0.3">
      <c r="A253" s="21">
        <v>46092</v>
      </c>
      <c r="B253" s="13" t="s">
        <v>274</v>
      </c>
      <c r="C253" s="13"/>
      <c r="D253" s="14">
        <v>123679.1</v>
      </c>
      <c r="E253" s="13"/>
      <c r="F253" s="13" t="s">
        <v>51</v>
      </c>
    </row>
    <row r="254" spans="1:6" x14ac:dyDescent="0.3">
      <c r="A254" s="21">
        <v>46092</v>
      </c>
      <c r="B254" s="13" t="s">
        <v>275</v>
      </c>
      <c r="C254" s="13"/>
      <c r="D254" s="14">
        <v>696513.49</v>
      </c>
      <c r="E254" s="13"/>
      <c r="F254" s="13" t="s">
        <v>51</v>
      </c>
    </row>
    <row r="255" spans="1:6" x14ac:dyDescent="0.3">
      <c r="A255" s="21">
        <v>46092</v>
      </c>
      <c r="B255" s="13" t="s">
        <v>276</v>
      </c>
      <c r="C255" s="13"/>
      <c r="D255" s="14">
        <v>4113.12</v>
      </c>
      <c r="E255" s="13"/>
      <c r="F255" s="13" t="s">
        <v>51</v>
      </c>
    </row>
    <row r="256" spans="1:6" x14ac:dyDescent="0.3">
      <c r="A256" s="21">
        <v>46092</v>
      </c>
      <c r="B256" s="13" t="s">
        <v>277</v>
      </c>
      <c r="C256" s="13"/>
      <c r="D256" s="14">
        <v>321928.5</v>
      </c>
      <c r="E256" s="13"/>
      <c r="F256" s="13" t="s">
        <v>51</v>
      </c>
    </row>
    <row r="257" spans="1:6" x14ac:dyDescent="0.3">
      <c r="A257" s="21">
        <v>46092</v>
      </c>
      <c r="B257" s="13" t="s">
        <v>278</v>
      </c>
      <c r="C257" s="13"/>
      <c r="D257" s="14">
        <v>1161787.7</v>
      </c>
      <c r="E257" s="13"/>
      <c r="F257" s="13" t="s">
        <v>51</v>
      </c>
    </row>
    <row r="258" spans="1:6" x14ac:dyDescent="0.3">
      <c r="A258" s="21">
        <v>46092</v>
      </c>
      <c r="B258" s="13" t="s">
        <v>279</v>
      </c>
      <c r="C258" s="13"/>
      <c r="D258" s="14">
        <v>10485.64</v>
      </c>
      <c r="E258" s="13"/>
      <c r="F258" s="13" t="s">
        <v>51</v>
      </c>
    </row>
    <row r="259" spans="1:6" x14ac:dyDescent="0.3">
      <c r="A259" s="21">
        <v>46092</v>
      </c>
      <c r="B259" s="13" t="s">
        <v>280</v>
      </c>
      <c r="C259" s="13"/>
      <c r="D259" s="14">
        <v>14175.15</v>
      </c>
      <c r="E259" s="13"/>
      <c r="F259" s="13" t="s">
        <v>51</v>
      </c>
    </row>
    <row r="260" spans="1:6" x14ac:dyDescent="0.3">
      <c r="A260" s="21">
        <v>46092</v>
      </c>
      <c r="B260" s="13" t="s">
        <v>281</v>
      </c>
      <c r="C260" s="13"/>
      <c r="D260" s="14">
        <v>577419.27</v>
      </c>
      <c r="E260" s="13"/>
      <c r="F260" s="13" t="s">
        <v>51</v>
      </c>
    </row>
    <row r="261" spans="1:6" x14ac:dyDescent="0.3">
      <c r="A261" s="21">
        <v>46092</v>
      </c>
      <c r="B261" s="13" t="s">
        <v>282</v>
      </c>
      <c r="C261" s="13"/>
      <c r="D261" s="14">
        <v>978202.4</v>
      </c>
      <c r="E261" s="13"/>
      <c r="F261" s="13" t="s">
        <v>51</v>
      </c>
    </row>
    <row r="262" spans="1:6" x14ac:dyDescent="0.3">
      <c r="A262" s="21">
        <v>46092</v>
      </c>
      <c r="B262" s="13" t="s">
        <v>283</v>
      </c>
      <c r="C262" s="13"/>
      <c r="D262" s="14">
        <v>565773.06999999995</v>
      </c>
      <c r="E262" s="13"/>
      <c r="F262" s="13" t="s">
        <v>51</v>
      </c>
    </row>
    <row r="263" spans="1:6" x14ac:dyDescent="0.3">
      <c r="A263" s="21">
        <v>46092</v>
      </c>
      <c r="B263" s="13" t="s">
        <v>284</v>
      </c>
      <c r="C263" s="14">
        <v>4500000</v>
      </c>
      <c r="D263" s="13"/>
      <c r="E263" s="13"/>
      <c r="F263" s="13" t="s">
        <v>51</v>
      </c>
    </row>
    <row r="264" spans="1:6" x14ac:dyDescent="0.3">
      <c r="A264" s="21">
        <v>46092</v>
      </c>
      <c r="B264" s="13" t="s">
        <v>65</v>
      </c>
      <c r="C264" s="14">
        <v>8933.7999999999993</v>
      </c>
      <c r="D264" s="13"/>
      <c r="E264" s="13"/>
      <c r="F264" s="13" t="s">
        <v>29</v>
      </c>
    </row>
    <row r="265" spans="1:6" x14ac:dyDescent="0.3">
      <c r="A265" s="21">
        <v>46092</v>
      </c>
      <c r="B265" s="13" t="s">
        <v>66</v>
      </c>
      <c r="C265" s="14">
        <v>28560.46</v>
      </c>
      <c r="D265" s="13"/>
      <c r="E265" s="13"/>
      <c r="F265" s="13" t="s">
        <v>31</v>
      </c>
    </row>
    <row r="266" spans="1:6" x14ac:dyDescent="0.3">
      <c r="A266" s="21">
        <v>46092</v>
      </c>
      <c r="B266" s="13" t="s">
        <v>285</v>
      </c>
      <c r="C266" s="14">
        <v>57120.93</v>
      </c>
      <c r="D266" s="13"/>
      <c r="E266" s="13"/>
      <c r="F266" s="13" t="s">
        <v>26</v>
      </c>
    </row>
    <row r="267" spans="1:6" x14ac:dyDescent="0.3">
      <c r="A267" s="21">
        <v>46092</v>
      </c>
      <c r="B267" s="13" t="s">
        <v>286</v>
      </c>
      <c r="C267" s="14">
        <v>5183.8999999999996</v>
      </c>
      <c r="D267" s="13"/>
      <c r="E267" s="13"/>
      <c r="F267" s="13" t="s">
        <v>28</v>
      </c>
    </row>
    <row r="268" spans="1:6" x14ac:dyDescent="0.3">
      <c r="A268" s="21">
        <v>46093</v>
      </c>
      <c r="B268" s="13" t="s">
        <v>69</v>
      </c>
      <c r="C268" s="13"/>
      <c r="D268" s="14">
        <v>2222451.65</v>
      </c>
      <c r="E268" s="13"/>
      <c r="F268" s="13" t="s">
        <v>51</v>
      </c>
    </row>
    <row r="269" spans="1:6" x14ac:dyDescent="0.3">
      <c r="A269" s="21">
        <v>46093</v>
      </c>
      <c r="B269" s="13" t="s">
        <v>70</v>
      </c>
      <c r="C269" s="13"/>
      <c r="D269" s="14">
        <v>1979848.85</v>
      </c>
      <c r="E269" s="13"/>
      <c r="F269" s="13" t="s">
        <v>51</v>
      </c>
    </row>
    <row r="270" spans="1:6" x14ac:dyDescent="0.3">
      <c r="A270" s="21">
        <v>46093</v>
      </c>
      <c r="B270" s="13" t="s">
        <v>287</v>
      </c>
      <c r="C270" s="13"/>
      <c r="D270" s="14">
        <v>163586.94</v>
      </c>
      <c r="E270" s="13"/>
      <c r="F270" s="13" t="s">
        <v>51</v>
      </c>
    </row>
    <row r="271" spans="1:6" x14ac:dyDescent="0.3">
      <c r="A271" s="21">
        <v>46093</v>
      </c>
      <c r="B271" s="13" t="s">
        <v>72</v>
      </c>
      <c r="C271" s="14">
        <v>13904.16</v>
      </c>
      <c r="D271" s="13"/>
      <c r="E271" s="13"/>
      <c r="F271" s="13" t="s">
        <v>33</v>
      </c>
    </row>
    <row r="272" spans="1:6" x14ac:dyDescent="0.3">
      <c r="A272" s="21">
        <v>46093</v>
      </c>
      <c r="B272" s="13" t="s">
        <v>73</v>
      </c>
      <c r="C272" s="14">
        <v>695.21</v>
      </c>
      <c r="D272" s="13"/>
      <c r="E272" s="13"/>
      <c r="F272" s="13" t="s">
        <v>35</v>
      </c>
    </row>
    <row r="273" spans="1:6" x14ac:dyDescent="0.3">
      <c r="A273" s="21">
        <v>46093</v>
      </c>
      <c r="B273" s="13" t="s">
        <v>74</v>
      </c>
      <c r="C273" s="14">
        <v>2919.87</v>
      </c>
      <c r="D273" s="13"/>
      <c r="E273" s="13"/>
      <c r="F273" s="13" t="s">
        <v>37</v>
      </c>
    </row>
    <row r="274" spans="1:6" x14ac:dyDescent="0.3">
      <c r="A274" s="21">
        <v>46093</v>
      </c>
      <c r="B274" s="13" t="s">
        <v>75</v>
      </c>
      <c r="C274" s="14">
        <v>417.12</v>
      </c>
      <c r="D274" s="13"/>
      <c r="E274" s="13"/>
      <c r="F274" s="13" t="s">
        <v>37</v>
      </c>
    </row>
    <row r="275" spans="1:6" x14ac:dyDescent="0.3">
      <c r="A275" s="21">
        <v>46093</v>
      </c>
      <c r="B275" s="13" t="s">
        <v>288</v>
      </c>
      <c r="C275" s="13"/>
      <c r="D275" s="14">
        <v>719644.91</v>
      </c>
      <c r="E275" s="13"/>
      <c r="F275" s="13" t="s">
        <v>51</v>
      </c>
    </row>
    <row r="276" spans="1:6" x14ac:dyDescent="0.3">
      <c r="A276" s="21">
        <v>46093</v>
      </c>
      <c r="B276" s="13" t="s">
        <v>289</v>
      </c>
      <c r="C276" s="13"/>
      <c r="D276" s="14">
        <v>2096323.89</v>
      </c>
      <c r="E276" s="13"/>
      <c r="F276" s="13" t="s">
        <v>51</v>
      </c>
    </row>
    <row r="277" spans="1:6" x14ac:dyDescent="0.3">
      <c r="A277" s="21">
        <v>46093</v>
      </c>
      <c r="B277" s="13" t="s">
        <v>290</v>
      </c>
      <c r="C277" s="13"/>
      <c r="D277" s="14">
        <v>1000000</v>
      </c>
      <c r="E277" s="13"/>
      <c r="F277" s="13" t="s">
        <v>51</v>
      </c>
    </row>
    <row r="278" spans="1:6" x14ac:dyDescent="0.3">
      <c r="A278" s="21">
        <v>46093</v>
      </c>
      <c r="B278" s="13" t="s">
        <v>291</v>
      </c>
      <c r="C278" s="13"/>
      <c r="D278" s="14">
        <v>225324.19</v>
      </c>
      <c r="E278" s="13"/>
      <c r="F278" s="13" t="s">
        <v>51</v>
      </c>
    </row>
    <row r="279" spans="1:6" x14ac:dyDescent="0.3">
      <c r="A279" s="21">
        <v>46093</v>
      </c>
      <c r="B279" s="13" t="s">
        <v>292</v>
      </c>
      <c r="C279" s="14">
        <v>500000</v>
      </c>
      <c r="D279" s="13"/>
      <c r="E279" s="13"/>
      <c r="F279" s="13" t="s">
        <v>51</v>
      </c>
    </row>
    <row r="280" spans="1:6" x14ac:dyDescent="0.3">
      <c r="A280" s="21">
        <v>46093</v>
      </c>
      <c r="B280" s="13" t="s">
        <v>293</v>
      </c>
      <c r="C280" s="14">
        <v>210267.75</v>
      </c>
      <c r="D280" s="13"/>
      <c r="E280" s="13"/>
      <c r="F280" s="13" t="s">
        <v>51</v>
      </c>
    </row>
    <row r="281" spans="1:6" x14ac:dyDescent="0.3">
      <c r="A281" s="21">
        <v>46093</v>
      </c>
      <c r="B281" s="13" t="s">
        <v>294</v>
      </c>
      <c r="C281" s="14">
        <v>49965.71</v>
      </c>
      <c r="D281" s="13"/>
      <c r="E281" s="13"/>
      <c r="F281" s="13" t="s">
        <v>51</v>
      </c>
    </row>
    <row r="282" spans="1:6" x14ac:dyDescent="0.3">
      <c r="A282" s="21">
        <v>46093</v>
      </c>
      <c r="B282" s="13" t="s">
        <v>295</v>
      </c>
      <c r="C282" s="14">
        <v>902000</v>
      </c>
      <c r="D282" s="13"/>
      <c r="E282" s="13"/>
      <c r="F282" s="13" t="s">
        <v>51</v>
      </c>
    </row>
    <row r="283" spans="1:6" x14ac:dyDescent="0.3">
      <c r="A283" s="21">
        <v>46093</v>
      </c>
      <c r="B283" s="13" t="s">
        <v>296</v>
      </c>
      <c r="C283" s="14">
        <v>487018.92</v>
      </c>
      <c r="D283" s="13"/>
      <c r="E283" s="13"/>
      <c r="F283" s="13" t="s">
        <v>51</v>
      </c>
    </row>
    <row r="284" spans="1:6" x14ac:dyDescent="0.3">
      <c r="A284" s="21">
        <v>46093</v>
      </c>
      <c r="B284" s="13" t="s">
        <v>297</v>
      </c>
      <c r="C284" s="14">
        <v>623535.93000000005</v>
      </c>
      <c r="D284" s="13"/>
      <c r="E284" s="13"/>
      <c r="F284" s="13" t="s">
        <v>51</v>
      </c>
    </row>
    <row r="285" spans="1:6" x14ac:dyDescent="0.3">
      <c r="A285" s="21">
        <v>46093</v>
      </c>
      <c r="B285" s="13" t="s">
        <v>298</v>
      </c>
      <c r="C285" s="14">
        <v>490959.39</v>
      </c>
      <c r="D285" s="13"/>
      <c r="E285" s="13"/>
      <c r="F285" s="13" t="s">
        <v>51</v>
      </c>
    </row>
    <row r="286" spans="1:6" x14ac:dyDescent="0.3">
      <c r="A286" s="21">
        <v>46093</v>
      </c>
      <c r="B286" s="13" t="s">
        <v>299</v>
      </c>
      <c r="C286" s="14">
        <v>1436365.77</v>
      </c>
      <c r="D286" s="13"/>
      <c r="E286" s="13"/>
      <c r="F286" s="13" t="s">
        <v>51</v>
      </c>
    </row>
    <row r="287" spans="1:6" x14ac:dyDescent="0.3">
      <c r="A287" s="21">
        <v>46093</v>
      </c>
      <c r="B287" s="13" t="s">
        <v>300</v>
      </c>
      <c r="C287" s="13"/>
      <c r="D287" s="14">
        <v>186936.66</v>
      </c>
      <c r="E287" s="13"/>
      <c r="F287" s="13" t="s">
        <v>51</v>
      </c>
    </row>
    <row r="288" spans="1:6" x14ac:dyDescent="0.3">
      <c r="A288" s="21">
        <v>46093</v>
      </c>
      <c r="B288" s="13" t="s">
        <v>301</v>
      </c>
      <c r="C288" s="13"/>
      <c r="D288" s="14">
        <v>10786.55</v>
      </c>
      <c r="E288" s="13"/>
      <c r="F288" s="13" t="s">
        <v>51</v>
      </c>
    </row>
    <row r="289" spans="1:6" x14ac:dyDescent="0.3">
      <c r="A289" s="21">
        <v>46093</v>
      </c>
      <c r="B289" s="13" t="s">
        <v>302</v>
      </c>
      <c r="C289" s="13"/>
      <c r="D289" s="14">
        <v>3034757.92</v>
      </c>
      <c r="E289" s="13"/>
      <c r="F289" s="13" t="s">
        <v>51</v>
      </c>
    </row>
    <row r="290" spans="1:6" x14ac:dyDescent="0.3">
      <c r="A290" s="21">
        <v>46093</v>
      </c>
      <c r="B290" s="13" t="s">
        <v>303</v>
      </c>
      <c r="C290" s="13"/>
      <c r="D290" s="14">
        <v>1269139.2</v>
      </c>
      <c r="E290" s="13"/>
      <c r="F290" s="13" t="s">
        <v>51</v>
      </c>
    </row>
    <row r="291" spans="1:6" x14ac:dyDescent="0.3">
      <c r="A291" s="21">
        <v>46093</v>
      </c>
      <c r="B291" s="13" t="s">
        <v>304</v>
      </c>
      <c r="C291" s="13"/>
      <c r="D291" s="14">
        <v>998082.4</v>
      </c>
      <c r="E291" s="13"/>
      <c r="F291" s="13" t="s">
        <v>51</v>
      </c>
    </row>
    <row r="292" spans="1:6" x14ac:dyDescent="0.3">
      <c r="A292" s="21">
        <v>46093</v>
      </c>
      <c r="B292" s="13" t="s">
        <v>305</v>
      </c>
      <c r="C292" s="13"/>
      <c r="D292" s="14">
        <v>1744696.39</v>
      </c>
      <c r="E292" s="13"/>
      <c r="F292" s="13" t="s">
        <v>51</v>
      </c>
    </row>
    <row r="293" spans="1:6" x14ac:dyDescent="0.3">
      <c r="A293" s="21">
        <v>46093</v>
      </c>
      <c r="B293" s="13" t="s">
        <v>306</v>
      </c>
      <c r="C293" s="13"/>
      <c r="D293" s="14">
        <v>764504.94</v>
      </c>
      <c r="E293" s="13"/>
      <c r="F293" s="13" t="s">
        <v>51</v>
      </c>
    </row>
    <row r="294" spans="1:6" x14ac:dyDescent="0.3">
      <c r="A294" s="21">
        <v>46093</v>
      </c>
      <c r="B294" s="13" t="s">
        <v>307</v>
      </c>
      <c r="C294" s="13"/>
      <c r="D294" s="14">
        <v>3419538.53</v>
      </c>
      <c r="E294" s="13"/>
      <c r="F294" s="13" t="s">
        <v>51</v>
      </c>
    </row>
    <row r="295" spans="1:6" x14ac:dyDescent="0.3">
      <c r="A295" s="21">
        <v>46093</v>
      </c>
      <c r="B295" s="13" t="s">
        <v>308</v>
      </c>
      <c r="C295" s="14">
        <v>11000000</v>
      </c>
      <c r="D295" s="13"/>
      <c r="E295" s="13"/>
      <c r="F295" s="13" t="s">
        <v>51</v>
      </c>
    </row>
    <row r="296" spans="1:6" x14ac:dyDescent="0.3">
      <c r="A296" s="21">
        <v>46093</v>
      </c>
      <c r="B296" s="13" t="s">
        <v>309</v>
      </c>
      <c r="C296" s="13"/>
      <c r="D296" s="14">
        <v>276038.2</v>
      </c>
      <c r="E296" s="13"/>
      <c r="F296" s="13" t="s">
        <v>51</v>
      </c>
    </row>
    <row r="297" spans="1:6" x14ac:dyDescent="0.3">
      <c r="A297" s="21">
        <v>46093</v>
      </c>
      <c r="B297" s="13" t="s">
        <v>64</v>
      </c>
      <c r="C297" s="13"/>
      <c r="D297" s="14">
        <v>3189352.5</v>
      </c>
      <c r="E297" s="13"/>
      <c r="F297" s="13" t="s">
        <v>51</v>
      </c>
    </row>
    <row r="298" spans="1:6" x14ac:dyDescent="0.3">
      <c r="A298" s="21">
        <v>46093</v>
      </c>
      <c r="B298" s="13" t="s">
        <v>65</v>
      </c>
      <c r="C298" s="14">
        <v>28682.12</v>
      </c>
      <c r="D298" s="13"/>
      <c r="E298" s="13"/>
      <c r="F298" s="13" t="s">
        <v>29</v>
      </c>
    </row>
    <row r="299" spans="1:6" x14ac:dyDescent="0.3">
      <c r="A299" s="21">
        <v>46093</v>
      </c>
      <c r="B299" s="13" t="s">
        <v>66</v>
      </c>
      <c r="C299" s="14">
        <v>133806.09</v>
      </c>
      <c r="D299" s="13"/>
      <c r="E299" s="13"/>
      <c r="F299" s="13" t="s">
        <v>31</v>
      </c>
    </row>
    <row r="300" spans="1:6" x14ac:dyDescent="0.3">
      <c r="A300" s="21">
        <v>46093</v>
      </c>
      <c r="B300" s="13" t="s">
        <v>310</v>
      </c>
      <c r="C300" s="14">
        <v>720</v>
      </c>
      <c r="D300" s="13"/>
      <c r="E300" s="13"/>
      <c r="F300" s="13" t="s">
        <v>33</v>
      </c>
    </row>
    <row r="301" spans="1:6" x14ac:dyDescent="0.3">
      <c r="A301" s="21">
        <v>46093</v>
      </c>
      <c r="B301" s="13" t="s">
        <v>311</v>
      </c>
      <c r="C301" s="14">
        <v>151.19999999999999</v>
      </c>
      <c r="D301" s="13"/>
      <c r="E301" s="13"/>
      <c r="F301" s="13" t="s">
        <v>37</v>
      </c>
    </row>
    <row r="302" spans="1:6" x14ac:dyDescent="0.3">
      <c r="A302" s="21">
        <v>46093</v>
      </c>
      <c r="B302" s="13" t="s">
        <v>312</v>
      </c>
      <c r="C302" s="14">
        <v>1485</v>
      </c>
      <c r="D302" s="13"/>
      <c r="E302" s="13"/>
      <c r="F302" s="13" t="s">
        <v>33</v>
      </c>
    </row>
    <row r="303" spans="1:6" x14ac:dyDescent="0.3">
      <c r="A303" s="21">
        <v>46093</v>
      </c>
      <c r="B303" s="13" t="s">
        <v>313</v>
      </c>
      <c r="C303" s="14">
        <v>311.85000000000002</v>
      </c>
      <c r="D303" s="13"/>
      <c r="E303" s="13"/>
      <c r="F303" s="13" t="s">
        <v>37</v>
      </c>
    </row>
    <row r="304" spans="1:6" x14ac:dyDescent="0.3">
      <c r="A304" s="21">
        <v>46093</v>
      </c>
      <c r="B304" s="13" t="s">
        <v>314</v>
      </c>
      <c r="C304" s="14">
        <v>1485</v>
      </c>
      <c r="D304" s="13"/>
      <c r="E304" s="13"/>
      <c r="F304" s="13" t="s">
        <v>33</v>
      </c>
    </row>
    <row r="305" spans="1:6" x14ac:dyDescent="0.3">
      <c r="A305" s="21">
        <v>46093</v>
      </c>
      <c r="B305" s="13" t="s">
        <v>315</v>
      </c>
      <c r="C305" s="14">
        <v>311.85000000000002</v>
      </c>
      <c r="D305" s="13"/>
      <c r="E305" s="13"/>
      <c r="F305" s="13" t="s">
        <v>37</v>
      </c>
    </row>
    <row r="306" spans="1:6" x14ac:dyDescent="0.3">
      <c r="A306" s="21">
        <v>46093</v>
      </c>
      <c r="B306" s="13" t="s">
        <v>316</v>
      </c>
      <c r="C306" s="14">
        <v>1485</v>
      </c>
      <c r="D306" s="13"/>
      <c r="E306" s="13"/>
      <c r="F306" s="13" t="s">
        <v>33</v>
      </c>
    </row>
    <row r="307" spans="1:6" x14ac:dyDescent="0.3">
      <c r="A307" s="21">
        <v>46093</v>
      </c>
      <c r="B307" s="13" t="s">
        <v>317</v>
      </c>
      <c r="C307" s="14">
        <v>311.85000000000002</v>
      </c>
      <c r="D307" s="13"/>
      <c r="E307" s="13"/>
      <c r="F307" s="13" t="s">
        <v>37</v>
      </c>
    </row>
    <row r="308" spans="1:6" x14ac:dyDescent="0.3">
      <c r="A308" s="21">
        <v>46093</v>
      </c>
      <c r="B308" s="13" t="s">
        <v>318</v>
      </c>
      <c r="C308" s="14">
        <v>1485</v>
      </c>
      <c r="D308" s="13"/>
      <c r="E308" s="13"/>
      <c r="F308" s="13" t="s">
        <v>33</v>
      </c>
    </row>
    <row r="309" spans="1:6" x14ac:dyDescent="0.3">
      <c r="A309" s="21">
        <v>46093</v>
      </c>
      <c r="B309" s="13" t="s">
        <v>319</v>
      </c>
      <c r="C309" s="14">
        <v>311.85000000000002</v>
      </c>
      <c r="D309" s="13"/>
      <c r="E309" s="13"/>
      <c r="F309" s="13" t="s">
        <v>37</v>
      </c>
    </row>
    <row r="310" spans="1:6" x14ac:dyDescent="0.3">
      <c r="A310" s="21">
        <v>46093</v>
      </c>
      <c r="B310" s="13" t="s">
        <v>320</v>
      </c>
      <c r="C310" s="14">
        <v>1485</v>
      </c>
      <c r="D310" s="13"/>
      <c r="E310" s="13"/>
      <c r="F310" s="13" t="s">
        <v>33</v>
      </c>
    </row>
    <row r="311" spans="1:6" x14ac:dyDescent="0.3">
      <c r="A311" s="21">
        <v>46093</v>
      </c>
      <c r="B311" s="13" t="s">
        <v>321</v>
      </c>
      <c r="C311" s="14">
        <v>311.85000000000002</v>
      </c>
      <c r="D311" s="13"/>
      <c r="E311" s="13"/>
      <c r="F311" s="13" t="s">
        <v>37</v>
      </c>
    </row>
    <row r="312" spans="1:6" x14ac:dyDescent="0.3">
      <c r="A312" s="21">
        <v>46093</v>
      </c>
      <c r="B312" s="13" t="s">
        <v>322</v>
      </c>
      <c r="C312" s="14">
        <v>267612.18</v>
      </c>
      <c r="D312" s="13"/>
      <c r="E312" s="13"/>
      <c r="F312" s="13" t="s">
        <v>26</v>
      </c>
    </row>
    <row r="313" spans="1:6" x14ac:dyDescent="0.3">
      <c r="A313" s="21">
        <v>46093</v>
      </c>
      <c r="B313" s="13" t="s">
        <v>323</v>
      </c>
      <c r="C313" s="14">
        <v>22690.3</v>
      </c>
      <c r="D313" s="13"/>
      <c r="E313" s="13"/>
      <c r="F313" s="13" t="s">
        <v>28</v>
      </c>
    </row>
    <row r="314" spans="1:6" x14ac:dyDescent="0.3">
      <c r="A314" s="21">
        <v>46094</v>
      </c>
      <c r="B314" s="13" t="s">
        <v>324</v>
      </c>
      <c r="C314" s="13"/>
      <c r="D314" s="14">
        <v>16740.099999999999</v>
      </c>
      <c r="E314" s="13"/>
      <c r="F314" s="13" t="s">
        <v>51</v>
      </c>
    </row>
    <row r="315" spans="1:6" x14ac:dyDescent="0.3">
      <c r="A315" s="21">
        <v>46094</v>
      </c>
      <c r="B315" s="13" t="s">
        <v>325</v>
      </c>
      <c r="C315" s="13"/>
      <c r="D315" s="14">
        <v>17194.12</v>
      </c>
      <c r="E315" s="13"/>
      <c r="F315" s="13" t="s">
        <v>51</v>
      </c>
    </row>
    <row r="316" spans="1:6" x14ac:dyDescent="0.3">
      <c r="A316" s="21">
        <v>46094</v>
      </c>
      <c r="B316" s="13" t="s">
        <v>326</v>
      </c>
      <c r="C316" s="13"/>
      <c r="D316" s="14">
        <v>144791.23000000001</v>
      </c>
      <c r="E316" s="13"/>
      <c r="F316" s="13" t="s">
        <v>51</v>
      </c>
    </row>
    <row r="317" spans="1:6" x14ac:dyDescent="0.3">
      <c r="A317" s="21">
        <v>46094</v>
      </c>
      <c r="B317" s="13" t="s">
        <v>327</v>
      </c>
      <c r="C317" s="13"/>
      <c r="D317" s="14">
        <v>72926.7</v>
      </c>
      <c r="E317" s="13"/>
      <c r="F317" s="13" t="s">
        <v>51</v>
      </c>
    </row>
    <row r="318" spans="1:6" x14ac:dyDescent="0.3">
      <c r="A318" s="21">
        <v>46094</v>
      </c>
      <c r="B318" s="13" t="s">
        <v>328</v>
      </c>
      <c r="C318" s="13"/>
      <c r="D318" s="14">
        <v>15441</v>
      </c>
      <c r="E318" s="13"/>
      <c r="F318" s="13" t="s">
        <v>51</v>
      </c>
    </row>
    <row r="319" spans="1:6" x14ac:dyDescent="0.3">
      <c r="A319" s="21">
        <v>46094</v>
      </c>
      <c r="B319" s="13" t="s">
        <v>329</v>
      </c>
      <c r="C319" s="13"/>
      <c r="D319" s="14">
        <v>1592299.5</v>
      </c>
      <c r="E319" s="13"/>
      <c r="F319" s="13" t="s">
        <v>51</v>
      </c>
    </row>
    <row r="320" spans="1:6" x14ac:dyDescent="0.3">
      <c r="A320" s="21">
        <v>46094</v>
      </c>
      <c r="B320" s="13" t="s">
        <v>330</v>
      </c>
      <c r="C320" s="13"/>
      <c r="D320" s="14">
        <v>463200</v>
      </c>
      <c r="E320" s="13"/>
      <c r="F320" s="13" t="s">
        <v>51</v>
      </c>
    </row>
    <row r="321" spans="1:6" x14ac:dyDescent="0.3">
      <c r="A321" s="21">
        <v>46094</v>
      </c>
      <c r="B321" s="13" t="s">
        <v>331</v>
      </c>
      <c r="C321" s="13"/>
      <c r="D321" s="14">
        <v>685989.93</v>
      </c>
      <c r="E321" s="13"/>
      <c r="F321" s="13" t="s">
        <v>51</v>
      </c>
    </row>
    <row r="322" spans="1:6" x14ac:dyDescent="0.3">
      <c r="A322" s="21">
        <v>46094</v>
      </c>
      <c r="B322" s="13" t="s">
        <v>332</v>
      </c>
      <c r="C322" s="14">
        <v>6000000</v>
      </c>
      <c r="D322" s="13"/>
      <c r="E322" s="13"/>
      <c r="F322" s="13" t="s">
        <v>51</v>
      </c>
    </row>
    <row r="323" spans="1:6" x14ac:dyDescent="0.3">
      <c r="A323" s="21">
        <v>46094</v>
      </c>
      <c r="B323" s="13" t="s">
        <v>333</v>
      </c>
      <c r="C323" s="13"/>
      <c r="D323" s="14">
        <v>326369.75</v>
      </c>
      <c r="E323" s="13"/>
      <c r="F323" s="13" t="s">
        <v>51</v>
      </c>
    </row>
    <row r="324" spans="1:6" x14ac:dyDescent="0.3">
      <c r="A324" s="21">
        <v>46094</v>
      </c>
      <c r="B324" s="13" t="s">
        <v>334</v>
      </c>
      <c r="C324" s="13"/>
      <c r="D324" s="14">
        <v>663142.12</v>
      </c>
      <c r="E324" s="13"/>
      <c r="F324" s="13" t="s">
        <v>51</v>
      </c>
    </row>
    <row r="325" spans="1:6" x14ac:dyDescent="0.3">
      <c r="A325" s="21">
        <v>46094</v>
      </c>
      <c r="B325" s="13" t="s">
        <v>335</v>
      </c>
      <c r="C325" s="13"/>
      <c r="D325" s="14">
        <v>4881.68</v>
      </c>
      <c r="E325" s="13"/>
      <c r="F325" s="13" t="s">
        <v>51</v>
      </c>
    </row>
    <row r="326" spans="1:6" x14ac:dyDescent="0.3">
      <c r="A326" s="21">
        <v>46094</v>
      </c>
      <c r="B326" s="13" t="s">
        <v>336</v>
      </c>
      <c r="C326" s="13"/>
      <c r="D326" s="14">
        <v>3000000</v>
      </c>
      <c r="E326" s="13"/>
      <c r="F326" s="13" t="s">
        <v>51</v>
      </c>
    </row>
    <row r="327" spans="1:6" x14ac:dyDescent="0.3">
      <c r="A327" s="21">
        <v>46094</v>
      </c>
      <c r="B327" s="13" t="s">
        <v>337</v>
      </c>
      <c r="C327" s="14">
        <v>4713252.5</v>
      </c>
      <c r="D327" s="13"/>
      <c r="E327" s="13"/>
      <c r="F327" s="13" t="s">
        <v>51</v>
      </c>
    </row>
    <row r="328" spans="1:6" x14ac:dyDescent="0.3">
      <c r="A328" s="21">
        <v>46094</v>
      </c>
      <c r="B328" s="13" t="s">
        <v>66</v>
      </c>
      <c r="C328" s="14">
        <v>24017.86</v>
      </c>
      <c r="D328" s="13"/>
      <c r="E328" s="13"/>
      <c r="F328" s="13" t="s">
        <v>31</v>
      </c>
    </row>
    <row r="329" spans="1:6" x14ac:dyDescent="0.3">
      <c r="A329" s="21">
        <v>46094</v>
      </c>
      <c r="B329" s="13" t="s">
        <v>65</v>
      </c>
      <c r="C329" s="14">
        <v>30080.46</v>
      </c>
      <c r="D329" s="13"/>
      <c r="E329" s="13"/>
      <c r="F329" s="13" t="s">
        <v>29</v>
      </c>
    </row>
    <row r="330" spans="1:6" x14ac:dyDescent="0.3">
      <c r="A330" s="21">
        <v>46094</v>
      </c>
      <c r="B330" s="13" t="s">
        <v>338</v>
      </c>
      <c r="C330" s="14">
        <v>14532</v>
      </c>
      <c r="D330" s="13"/>
      <c r="E330" s="13"/>
      <c r="F330" s="13" t="s">
        <v>31</v>
      </c>
    </row>
    <row r="331" spans="1:6" x14ac:dyDescent="0.3">
      <c r="A331" s="21">
        <v>46094</v>
      </c>
      <c r="B331" s="13" t="s">
        <v>339</v>
      </c>
      <c r="C331" s="14">
        <v>1485</v>
      </c>
      <c r="D331" s="13"/>
      <c r="E331" s="13"/>
      <c r="F331" s="13" t="s">
        <v>33</v>
      </c>
    </row>
    <row r="332" spans="1:6" x14ac:dyDescent="0.3">
      <c r="A332" s="21">
        <v>46094</v>
      </c>
      <c r="B332" s="13" t="s">
        <v>340</v>
      </c>
      <c r="C332" s="14">
        <v>311.85000000000002</v>
      </c>
      <c r="D332" s="13"/>
      <c r="E332" s="13"/>
      <c r="F332" s="13" t="s">
        <v>37</v>
      </c>
    </row>
    <row r="333" spans="1:6" x14ac:dyDescent="0.3">
      <c r="A333" s="21">
        <v>46094</v>
      </c>
      <c r="B333" s="13" t="s">
        <v>341</v>
      </c>
      <c r="C333" s="14">
        <v>48035.71</v>
      </c>
      <c r="D333" s="13"/>
      <c r="E333" s="13"/>
      <c r="F333" s="13" t="s">
        <v>26</v>
      </c>
    </row>
    <row r="334" spans="1:6" x14ac:dyDescent="0.3">
      <c r="A334" s="21">
        <v>46094</v>
      </c>
      <c r="B334" s="13" t="s">
        <v>342</v>
      </c>
      <c r="C334" s="14">
        <v>4609.7299999999996</v>
      </c>
      <c r="D334" s="13"/>
      <c r="E334" s="13"/>
      <c r="F334" s="13" t="s">
        <v>28</v>
      </c>
    </row>
    <row r="335" spans="1:6" x14ac:dyDescent="0.3">
      <c r="A335" s="21">
        <v>46097</v>
      </c>
      <c r="B335" s="13" t="s">
        <v>69</v>
      </c>
      <c r="C335" s="13"/>
      <c r="D335" s="14">
        <v>1272130.3700000001</v>
      </c>
      <c r="E335" s="13"/>
      <c r="F335" s="13" t="s">
        <v>51</v>
      </c>
    </row>
    <row r="336" spans="1:6" x14ac:dyDescent="0.3">
      <c r="A336" s="21">
        <v>46097</v>
      </c>
      <c r="B336" s="13" t="s">
        <v>343</v>
      </c>
      <c r="C336" s="13"/>
      <c r="D336" s="14">
        <v>667562</v>
      </c>
      <c r="E336" s="13"/>
      <c r="F336" s="13" t="s">
        <v>51</v>
      </c>
    </row>
    <row r="337" spans="1:6" x14ac:dyDescent="0.3">
      <c r="A337" s="21">
        <v>46097</v>
      </c>
      <c r="B337" s="13" t="s">
        <v>344</v>
      </c>
      <c r="C337" s="14">
        <v>1214855.04</v>
      </c>
      <c r="D337" s="13"/>
      <c r="E337" s="13"/>
      <c r="F337" s="13" t="s">
        <v>53</v>
      </c>
    </row>
    <row r="338" spans="1:6" x14ac:dyDescent="0.3">
      <c r="A338" s="21">
        <v>46097</v>
      </c>
      <c r="B338" s="13" t="s">
        <v>345</v>
      </c>
      <c r="C338" s="14">
        <v>364826.34</v>
      </c>
      <c r="D338" s="13"/>
      <c r="E338" s="13"/>
      <c r="F338" s="13" t="s">
        <v>53</v>
      </c>
    </row>
    <row r="339" spans="1:6" x14ac:dyDescent="0.3">
      <c r="A339" s="21">
        <v>46097</v>
      </c>
      <c r="B339" s="13" t="s">
        <v>346</v>
      </c>
      <c r="C339" s="14">
        <v>524468.05000000005</v>
      </c>
      <c r="D339" s="13"/>
      <c r="E339" s="13"/>
      <c r="F339" s="13" t="s">
        <v>53</v>
      </c>
    </row>
    <row r="340" spans="1:6" x14ac:dyDescent="0.3">
      <c r="A340" s="21">
        <v>46097</v>
      </c>
      <c r="B340" s="13" t="s">
        <v>347</v>
      </c>
      <c r="C340" s="14">
        <v>301511.90999999997</v>
      </c>
      <c r="D340" s="13"/>
      <c r="E340" s="13"/>
      <c r="F340" s="13" t="s">
        <v>53</v>
      </c>
    </row>
    <row r="341" spans="1:6" x14ac:dyDescent="0.3">
      <c r="A341" s="21">
        <v>46097</v>
      </c>
      <c r="B341" s="13" t="s">
        <v>348</v>
      </c>
      <c r="C341" s="14">
        <v>95216.62</v>
      </c>
      <c r="D341" s="13"/>
      <c r="E341" s="13"/>
      <c r="F341" s="13" t="s">
        <v>51</v>
      </c>
    </row>
    <row r="342" spans="1:6" x14ac:dyDescent="0.3">
      <c r="A342" s="21">
        <v>46097</v>
      </c>
      <c r="B342" s="13" t="s">
        <v>349</v>
      </c>
      <c r="C342" s="13"/>
      <c r="D342" s="14">
        <v>258192.72</v>
      </c>
      <c r="E342" s="13"/>
      <c r="F342" s="13" t="s">
        <v>51</v>
      </c>
    </row>
    <row r="343" spans="1:6" x14ac:dyDescent="0.3">
      <c r="A343" s="21">
        <v>46097</v>
      </c>
      <c r="B343" s="13" t="s">
        <v>350</v>
      </c>
      <c r="C343" s="13"/>
      <c r="D343" s="14">
        <v>118943</v>
      </c>
      <c r="E343" s="13"/>
      <c r="F343" s="13" t="s">
        <v>51</v>
      </c>
    </row>
    <row r="344" spans="1:6" x14ac:dyDescent="0.3">
      <c r="A344" s="21">
        <v>46097</v>
      </c>
      <c r="B344" s="13" t="s">
        <v>351</v>
      </c>
      <c r="C344" s="13"/>
      <c r="D344" s="14">
        <v>19241</v>
      </c>
      <c r="E344" s="13"/>
      <c r="F344" s="13" t="s">
        <v>51</v>
      </c>
    </row>
    <row r="345" spans="1:6" x14ac:dyDescent="0.3">
      <c r="A345" s="21">
        <v>46097</v>
      </c>
      <c r="B345" s="13" t="s">
        <v>352</v>
      </c>
      <c r="C345" s="13"/>
      <c r="D345" s="14">
        <v>874702.13</v>
      </c>
      <c r="E345" s="13"/>
      <c r="F345" s="13" t="s">
        <v>51</v>
      </c>
    </row>
    <row r="346" spans="1:6" x14ac:dyDescent="0.3">
      <c r="A346" s="21">
        <v>46097</v>
      </c>
      <c r="B346" s="13" t="s">
        <v>353</v>
      </c>
      <c r="C346" s="13"/>
      <c r="D346" s="14">
        <v>10824.66</v>
      </c>
      <c r="E346" s="13"/>
      <c r="F346" s="13" t="s">
        <v>51</v>
      </c>
    </row>
    <row r="347" spans="1:6" x14ac:dyDescent="0.3">
      <c r="A347" s="21">
        <v>46097</v>
      </c>
      <c r="B347" s="13" t="s">
        <v>66</v>
      </c>
      <c r="C347" s="14">
        <v>19329.580000000002</v>
      </c>
      <c r="D347" s="13"/>
      <c r="E347" s="13"/>
      <c r="F347" s="13" t="s">
        <v>31</v>
      </c>
    </row>
    <row r="348" spans="1:6" x14ac:dyDescent="0.3">
      <c r="A348" s="21">
        <v>46097</v>
      </c>
      <c r="B348" s="13" t="s">
        <v>65</v>
      </c>
      <c r="C348" s="14">
        <v>15331.92</v>
      </c>
      <c r="D348" s="13"/>
      <c r="E348" s="13"/>
      <c r="F348" s="13" t="s">
        <v>29</v>
      </c>
    </row>
    <row r="349" spans="1:6" x14ac:dyDescent="0.3">
      <c r="A349" s="21">
        <v>46097</v>
      </c>
      <c r="B349" s="13" t="s">
        <v>354</v>
      </c>
      <c r="C349" s="14">
        <v>8557.48</v>
      </c>
      <c r="D349" s="13"/>
      <c r="E349" s="13"/>
      <c r="F349" s="13" t="s">
        <v>31</v>
      </c>
    </row>
    <row r="350" spans="1:6" x14ac:dyDescent="0.3">
      <c r="A350" s="21">
        <v>46097</v>
      </c>
      <c r="B350" s="13" t="s">
        <v>355</v>
      </c>
      <c r="C350" s="14">
        <v>27.96</v>
      </c>
      <c r="D350" s="13"/>
      <c r="E350" s="13"/>
      <c r="F350" s="13" t="s">
        <v>29</v>
      </c>
    </row>
    <row r="351" spans="1:6" x14ac:dyDescent="0.3">
      <c r="A351" s="21">
        <v>46097</v>
      </c>
      <c r="B351" s="13" t="s">
        <v>356</v>
      </c>
      <c r="C351" s="14">
        <v>38659.15</v>
      </c>
      <c r="D351" s="13"/>
      <c r="E351" s="13"/>
      <c r="F351" s="13" t="s">
        <v>26</v>
      </c>
    </row>
    <row r="352" spans="1:6" x14ac:dyDescent="0.3">
      <c r="A352" s="21">
        <v>46097</v>
      </c>
      <c r="B352" s="13" t="s">
        <v>357</v>
      </c>
      <c r="C352" s="14">
        <v>2755.01</v>
      </c>
      <c r="D352" s="13"/>
      <c r="E352" s="13"/>
      <c r="F352" s="13" t="s">
        <v>28</v>
      </c>
    </row>
    <row r="353" spans="1:6" x14ac:dyDescent="0.3">
      <c r="A353" s="21">
        <v>46098</v>
      </c>
      <c r="B353" s="13" t="s">
        <v>358</v>
      </c>
      <c r="C353" s="13"/>
      <c r="D353" s="14">
        <v>17190.939999999999</v>
      </c>
      <c r="E353" s="13"/>
      <c r="F353" s="13" t="s">
        <v>51</v>
      </c>
    </row>
    <row r="354" spans="1:6" x14ac:dyDescent="0.3">
      <c r="A354" s="21">
        <v>46098</v>
      </c>
      <c r="B354" s="13" t="s">
        <v>359</v>
      </c>
      <c r="C354" s="13"/>
      <c r="D354" s="14">
        <v>20963.04</v>
      </c>
      <c r="E354" s="13"/>
      <c r="F354" s="13" t="s">
        <v>51</v>
      </c>
    </row>
    <row r="355" spans="1:6" x14ac:dyDescent="0.3">
      <c r="A355" s="21">
        <v>46098</v>
      </c>
      <c r="B355" s="13" t="s">
        <v>360</v>
      </c>
      <c r="C355" s="13"/>
      <c r="D355" s="14">
        <v>7000000</v>
      </c>
      <c r="E355" s="13"/>
      <c r="F355" s="13" t="s">
        <v>51</v>
      </c>
    </row>
    <row r="356" spans="1:6" x14ac:dyDescent="0.3">
      <c r="A356" s="21">
        <v>46098</v>
      </c>
      <c r="B356" s="13" t="s">
        <v>361</v>
      </c>
      <c r="C356" s="13"/>
      <c r="D356" s="14">
        <v>83336.3</v>
      </c>
      <c r="E356" s="13"/>
      <c r="F356" s="13" t="s">
        <v>51</v>
      </c>
    </row>
    <row r="357" spans="1:6" x14ac:dyDescent="0.3">
      <c r="A357" s="21">
        <v>46098</v>
      </c>
      <c r="B357" s="13" t="s">
        <v>362</v>
      </c>
      <c r="C357" s="13"/>
      <c r="D357" s="14">
        <v>32915.57</v>
      </c>
      <c r="E357" s="13"/>
      <c r="F357" s="13" t="s">
        <v>51</v>
      </c>
    </row>
    <row r="358" spans="1:6" x14ac:dyDescent="0.3">
      <c r="A358" s="21">
        <v>46098</v>
      </c>
      <c r="B358" s="13" t="s">
        <v>363</v>
      </c>
      <c r="C358" s="13"/>
      <c r="D358" s="14">
        <v>773782.85</v>
      </c>
      <c r="E358" s="13"/>
      <c r="F358" s="13" t="s">
        <v>51</v>
      </c>
    </row>
    <row r="359" spans="1:6" x14ac:dyDescent="0.3">
      <c r="A359" s="21">
        <v>46098</v>
      </c>
      <c r="B359" s="13" t="s">
        <v>364</v>
      </c>
      <c r="C359" s="13"/>
      <c r="D359" s="14">
        <v>28476.48</v>
      </c>
      <c r="E359" s="13"/>
      <c r="F359" s="13" t="s">
        <v>51</v>
      </c>
    </row>
    <row r="360" spans="1:6" x14ac:dyDescent="0.3">
      <c r="A360" s="21">
        <v>46098</v>
      </c>
      <c r="B360" s="13" t="s">
        <v>365</v>
      </c>
      <c r="C360" s="14">
        <v>25000</v>
      </c>
      <c r="D360" s="13"/>
      <c r="E360" s="13"/>
      <c r="F360" s="13" t="s">
        <v>51</v>
      </c>
    </row>
    <row r="361" spans="1:6" x14ac:dyDescent="0.3">
      <c r="A361" s="21">
        <v>46098</v>
      </c>
      <c r="B361" s="13" t="s">
        <v>366</v>
      </c>
      <c r="C361" s="14">
        <v>113843.8</v>
      </c>
      <c r="D361" s="13"/>
      <c r="E361" s="13"/>
      <c r="F361" s="13" t="s">
        <v>51</v>
      </c>
    </row>
    <row r="362" spans="1:6" x14ac:dyDescent="0.3">
      <c r="A362" s="21">
        <v>46098</v>
      </c>
      <c r="B362" s="13" t="s">
        <v>367</v>
      </c>
      <c r="C362" s="14">
        <v>70500</v>
      </c>
      <c r="D362" s="13"/>
      <c r="E362" s="13"/>
      <c r="F362" s="13" t="s">
        <v>51</v>
      </c>
    </row>
    <row r="363" spans="1:6" x14ac:dyDescent="0.3">
      <c r="A363" s="21">
        <v>46098</v>
      </c>
      <c r="B363" s="13" t="s">
        <v>368</v>
      </c>
      <c r="C363" s="14">
        <v>60376.45</v>
      </c>
      <c r="D363" s="13"/>
      <c r="E363" s="13"/>
      <c r="F363" s="13" t="s">
        <v>51</v>
      </c>
    </row>
    <row r="364" spans="1:6" x14ac:dyDescent="0.3">
      <c r="A364" s="21">
        <v>46098</v>
      </c>
      <c r="B364" s="13" t="s">
        <v>369</v>
      </c>
      <c r="C364" s="14">
        <v>306702.27</v>
      </c>
      <c r="D364" s="13"/>
      <c r="E364" s="13"/>
      <c r="F364" s="13" t="s">
        <v>51</v>
      </c>
    </row>
    <row r="365" spans="1:6" x14ac:dyDescent="0.3">
      <c r="A365" s="21">
        <v>46098</v>
      </c>
      <c r="B365" s="13" t="s">
        <v>370</v>
      </c>
      <c r="C365" s="14">
        <v>20269.8</v>
      </c>
      <c r="D365" s="13"/>
      <c r="E365" s="13"/>
      <c r="F365" s="13" t="s">
        <v>51</v>
      </c>
    </row>
    <row r="366" spans="1:6" x14ac:dyDescent="0.3">
      <c r="A366" s="21">
        <v>46098</v>
      </c>
      <c r="B366" s="13" t="s">
        <v>371</v>
      </c>
      <c r="C366" s="13"/>
      <c r="D366" s="14">
        <v>532223.94999999995</v>
      </c>
      <c r="E366" s="13"/>
      <c r="F366" s="13" t="s">
        <v>51</v>
      </c>
    </row>
    <row r="367" spans="1:6" x14ac:dyDescent="0.3">
      <c r="A367" s="21">
        <v>46098</v>
      </c>
      <c r="B367" s="13" t="s">
        <v>65</v>
      </c>
      <c r="C367" s="14">
        <v>3828.63</v>
      </c>
      <c r="D367" s="13"/>
      <c r="E367" s="13"/>
      <c r="F367" s="13" t="s">
        <v>29</v>
      </c>
    </row>
    <row r="368" spans="1:6" x14ac:dyDescent="0.3">
      <c r="A368" s="21">
        <v>46098</v>
      </c>
      <c r="B368" s="13" t="s">
        <v>66</v>
      </c>
      <c r="C368" s="14">
        <v>8933.34</v>
      </c>
      <c r="D368" s="13"/>
      <c r="E368" s="13"/>
      <c r="F368" s="13" t="s">
        <v>31</v>
      </c>
    </row>
    <row r="369" spans="1:6" x14ac:dyDescent="0.3">
      <c r="A369" s="21">
        <v>46098</v>
      </c>
      <c r="B369" s="13" t="s">
        <v>372</v>
      </c>
      <c r="C369" s="14">
        <v>315</v>
      </c>
      <c r="D369" s="13"/>
      <c r="E369" s="13"/>
      <c r="F369" s="13" t="s">
        <v>33</v>
      </c>
    </row>
    <row r="370" spans="1:6" x14ac:dyDescent="0.3">
      <c r="A370" s="21">
        <v>46098</v>
      </c>
      <c r="B370" s="13" t="s">
        <v>373</v>
      </c>
      <c r="C370" s="14">
        <v>66.150000000000006</v>
      </c>
      <c r="D370" s="13"/>
      <c r="E370" s="13"/>
      <c r="F370" s="13" t="s">
        <v>37</v>
      </c>
    </row>
    <row r="371" spans="1:6" x14ac:dyDescent="0.3">
      <c r="A371" s="21">
        <v>46098</v>
      </c>
      <c r="B371" s="13" t="s">
        <v>374</v>
      </c>
      <c r="C371" s="14">
        <v>720</v>
      </c>
      <c r="D371" s="13"/>
      <c r="E371" s="13"/>
      <c r="F371" s="13" t="s">
        <v>33</v>
      </c>
    </row>
    <row r="372" spans="1:6" x14ac:dyDescent="0.3">
      <c r="A372" s="21">
        <v>46098</v>
      </c>
      <c r="B372" s="13" t="s">
        <v>375</v>
      </c>
      <c r="C372" s="14">
        <v>151.19999999999999</v>
      </c>
      <c r="D372" s="13"/>
      <c r="E372" s="13"/>
      <c r="F372" s="13" t="s">
        <v>37</v>
      </c>
    </row>
    <row r="373" spans="1:6" x14ac:dyDescent="0.3">
      <c r="A373" s="21">
        <v>46098</v>
      </c>
      <c r="B373" s="13" t="s">
        <v>376</v>
      </c>
      <c r="C373" s="14">
        <v>720</v>
      </c>
      <c r="D373" s="13"/>
      <c r="E373" s="13"/>
      <c r="F373" s="13" t="s">
        <v>33</v>
      </c>
    </row>
    <row r="374" spans="1:6" x14ac:dyDescent="0.3">
      <c r="A374" s="21">
        <v>46098</v>
      </c>
      <c r="B374" s="13" t="s">
        <v>377</v>
      </c>
      <c r="C374" s="14">
        <v>151.19999999999999</v>
      </c>
      <c r="D374" s="13"/>
      <c r="E374" s="13"/>
      <c r="F374" s="13" t="s">
        <v>37</v>
      </c>
    </row>
    <row r="375" spans="1:6" x14ac:dyDescent="0.3">
      <c r="A375" s="21">
        <v>46098</v>
      </c>
      <c r="B375" s="13" t="s">
        <v>378</v>
      </c>
      <c r="C375" s="14">
        <v>720</v>
      </c>
      <c r="D375" s="13"/>
      <c r="E375" s="13"/>
      <c r="F375" s="13" t="s">
        <v>33</v>
      </c>
    </row>
    <row r="376" spans="1:6" x14ac:dyDescent="0.3">
      <c r="A376" s="21">
        <v>46098</v>
      </c>
      <c r="B376" s="13" t="s">
        <v>379</v>
      </c>
      <c r="C376" s="14">
        <v>151.19999999999999</v>
      </c>
      <c r="D376" s="13"/>
      <c r="E376" s="13"/>
      <c r="F376" s="13" t="s">
        <v>37</v>
      </c>
    </row>
    <row r="377" spans="1:6" x14ac:dyDescent="0.3">
      <c r="A377" s="21">
        <v>46098</v>
      </c>
      <c r="B377" s="13" t="s">
        <v>380</v>
      </c>
      <c r="C377" s="14">
        <v>1485</v>
      </c>
      <c r="D377" s="13"/>
      <c r="E377" s="13"/>
      <c r="F377" s="13" t="s">
        <v>33</v>
      </c>
    </row>
    <row r="378" spans="1:6" x14ac:dyDescent="0.3">
      <c r="A378" s="21">
        <v>46098</v>
      </c>
      <c r="B378" s="13" t="s">
        <v>381</v>
      </c>
      <c r="C378" s="14">
        <v>311.85000000000002</v>
      </c>
      <c r="D378" s="13"/>
      <c r="E378" s="13"/>
      <c r="F378" s="13" t="s">
        <v>37</v>
      </c>
    </row>
    <row r="379" spans="1:6" x14ac:dyDescent="0.3">
      <c r="A379" s="21">
        <v>46098</v>
      </c>
      <c r="B379" s="13" t="s">
        <v>382</v>
      </c>
      <c r="C379" s="14">
        <v>17866.68</v>
      </c>
      <c r="D379" s="13"/>
      <c r="E379" s="13"/>
      <c r="F379" s="13" t="s">
        <v>26</v>
      </c>
    </row>
    <row r="380" spans="1:6" x14ac:dyDescent="0.3">
      <c r="A380" s="21">
        <v>46098</v>
      </c>
      <c r="B380" s="13" t="s">
        <v>383</v>
      </c>
      <c r="C380" s="14">
        <v>1740.88</v>
      </c>
      <c r="D380" s="13"/>
      <c r="E380" s="13"/>
      <c r="F380" s="13" t="s">
        <v>28</v>
      </c>
    </row>
    <row r="381" spans="1:6" x14ac:dyDescent="0.3">
      <c r="A381" s="21">
        <v>46099</v>
      </c>
      <c r="B381" s="13" t="s">
        <v>69</v>
      </c>
      <c r="C381" s="13"/>
      <c r="D381" s="14">
        <v>184531.62</v>
      </c>
      <c r="E381" s="13"/>
      <c r="F381" s="13" t="s">
        <v>51</v>
      </c>
    </row>
    <row r="382" spans="1:6" x14ac:dyDescent="0.3">
      <c r="A382" s="21">
        <v>46099</v>
      </c>
      <c r="B382" s="13" t="s">
        <v>70</v>
      </c>
      <c r="C382" s="13"/>
      <c r="D382" s="14">
        <v>5924707.6299999999</v>
      </c>
      <c r="E382" s="13"/>
      <c r="F382" s="13" t="s">
        <v>51</v>
      </c>
    </row>
    <row r="383" spans="1:6" x14ac:dyDescent="0.3">
      <c r="A383" s="21">
        <v>46099</v>
      </c>
      <c r="B383" s="13" t="s">
        <v>384</v>
      </c>
      <c r="C383" s="13"/>
      <c r="D383" s="14">
        <v>57973.91</v>
      </c>
      <c r="E383" s="13"/>
      <c r="F383" s="13" t="s">
        <v>51</v>
      </c>
    </row>
    <row r="384" spans="1:6" x14ac:dyDescent="0.3">
      <c r="A384" s="21">
        <v>46099</v>
      </c>
      <c r="B384" s="13" t="s">
        <v>385</v>
      </c>
      <c r="C384" s="14">
        <v>1607238.36</v>
      </c>
      <c r="D384" s="13"/>
      <c r="E384" s="13"/>
      <c r="F384" s="13" t="s">
        <v>53</v>
      </c>
    </row>
    <row r="385" spans="1:6" x14ac:dyDescent="0.3">
      <c r="A385" s="21">
        <v>46099</v>
      </c>
      <c r="B385" s="13" t="s">
        <v>72</v>
      </c>
      <c r="C385" s="14">
        <v>41472.959999999999</v>
      </c>
      <c r="D385" s="13"/>
      <c r="E385" s="13"/>
      <c r="F385" s="13" t="s">
        <v>33</v>
      </c>
    </row>
    <row r="386" spans="1:6" x14ac:dyDescent="0.3">
      <c r="A386" s="21">
        <v>46099</v>
      </c>
      <c r="B386" s="13" t="s">
        <v>73</v>
      </c>
      <c r="C386" s="14">
        <v>2073.65</v>
      </c>
      <c r="D386" s="13"/>
      <c r="E386" s="13"/>
      <c r="F386" s="13" t="s">
        <v>35</v>
      </c>
    </row>
    <row r="387" spans="1:6" x14ac:dyDescent="0.3">
      <c r="A387" s="21">
        <v>46099</v>
      </c>
      <c r="B387" s="13" t="s">
        <v>74</v>
      </c>
      <c r="C387" s="14">
        <v>8709.32</v>
      </c>
      <c r="D387" s="13"/>
      <c r="E387" s="13"/>
      <c r="F387" s="13" t="s">
        <v>37</v>
      </c>
    </row>
    <row r="388" spans="1:6" x14ac:dyDescent="0.3">
      <c r="A388" s="21">
        <v>46099</v>
      </c>
      <c r="B388" s="13" t="s">
        <v>75</v>
      </c>
      <c r="C388" s="14">
        <v>1244.19</v>
      </c>
      <c r="D388" s="13"/>
      <c r="E388" s="13"/>
      <c r="F388" s="13" t="s">
        <v>37</v>
      </c>
    </row>
    <row r="389" spans="1:6" x14ac:dyDescent="0.3">
      <c r="A389" s="21">
        <v>46099</v>
      </c>
      <c r="B389" s="13" t="s">
        <v>386</v>
      </c>
      <c r="C389" s="13"/>
      <c r="D389" s="14">
        <v>265525.07</v>
      </c>
      <c r="E389" s="13"/>
      <c r="F389" s="13" t="s">
        <v>51</v>
      </c>
    </row>
    <row r="390" spans="1:6" x14ac:dyDescent="0.3">
      <c r="A390" s="21">
        <v>46099</v>
      </c>
      <c r="B390" s="13" t="s">
        <v>387</v>
      </c>
      <c r="C390" s="13"/>
      <c r="D390" s="14">
        <v>345543</v>
      </c>
      <c r="E390" s="13"/>
      <c r="F390" s="13" t="s">
        <v>51</v>
      </c>
    </row>
    <row r="391" spans="1:6" x14ac:dyDescent="0.3">
      <c r="A391" s="21">
        <v>46099</v>
      </c>
      <c r="B391" s="13" t="s">
        <v>388</v>
      </c>
      <c r="C391" s="13"/>
      <c r="D391" s="14">
        <v>85708.52</v>
      </c>
      <c r="E391" s="13"/>
      <c r="F391" s="13" t="s">
        <v>51</v>
      </c>
    </row>
    <row r="392" spans="1:6" x14ac:dyDescent="0.3">
      <c r="A392" s="21">
        <v>46099</v>
      </c>
      <c r="B392" s="13" t="s">
        <v>389</v>
      </c>
      <c r="C392" s="13"/>
      <c r="D392" s="14">
        <v>375371.2</v>
      </c>
      <c r="E392" s="13"/>
      <c r="F392" s="13" t="s">
        <v>51</v>
      </c>
    </row>
    <row r="393" spans="1:6" x14ac:dyDescent="0.3">
      <c r="A393" s="21">
        <v>46099</v>
      </c>
      <c r="B393" s="13" t="s">
        <v>390</v>
      </c>
      <c r="C393" s="14">
        <v>11000000</v>
      </c>
      <c r="D393" s="13"/>
      <c r="E393" s="13"/>
      <c r="F393" s="13" t="s">
        <v>51</v>
      </c>
    </row>
    <row r="394" spans="1:6" x14ac:dyDescent="0.3">
      <c r="A394" s="21">
        <v>46099</v>
      </c>
      <c r="B394" s="13" t="s">
        <v>391</v>
      </c>
      <c r="C394" s="13"/>
      <c r="D394" s="14">
        <v>393794.5</v>
      </c>
      <c r="E394" s="13"/>
      <c r="F394" s="13" t="s">
        <v>51</v>
      </c>
    </row>
    <row r="395" spans="1:6" x14ac:dyDescent="0.3">
      <c r="A395" s="21">
        <v>46099</v>
      </c>
      <c r="B395" s="13" t="s">
        <v>392</v>
      </c>
      <c r="C395" s="14">
        <v>450000</v>
      </c>
      <c r="D395" s="13"/>
      <c r="E395" s="13"/>
      <c r="F395" s="13" t="s">
        <v>51</v>
      </c>
    </row>
    <row r="396" spans="1:6" x14ac:dyDescent="0.3">
      <c r="A396" s="21">
        <v>46099</v>
      </c>
      <c r="B396" s="13" t="s">
        <v>393</v>
      </c>
      <c r="C396" s="13"/>
      <c r="D396" s="14">
        <v>1252079.22</v>
      </c>
      <c r="E396" s="13"/>
      <c r="F396" s="13" t="s">
        <v>51</v>
      </c>
    </row>
    <row r="397" spans="1:6" x14ac:dyDescent="0.3">
      <c r="A397" s="21">
        <v>46099</v>
      </c>
      <c r="B397" s="13" t="s">
        <v>65</v>
      </c>
      <c r="C397" s="14">
        <v>12810.85</v>
      </c>
      <c r="D397" s="13"/>
      <c r="E397" s="13"/>
      <c r="F397" s="13" t="s">
        <v>29</v>
      </c>
    </row>
    <row r="398" spans="1:6" x14ac:dyDescent="0.3">
      <c r="A398" s="21">
        <v>46099</v>
      </c>
      <c r="B398" s="13" t="s">
        <v>66</v>
      </c>
      <c r="C398" s="14">
        <v>53311.42</v>
      </c>
      <c r="D398" s="13"/>
      <c r="E398" s="13"/>
      <c r="F398" s="13" t="s">
        <v>31</v>
      </c>
    </row>
    <row r="399" spans="1:6" x14ac:dyDescent="0.3">
      <c r="A399" s="21">
        <v>46099</v>
      </c>
      <c r="B399" s="13" t="s">
        <v>394</v>
      </c>
      <c r="C399" s="14">
        <v>1485</v>
      </c>
      <c r="D399" s="13"/>
      <c r="E399" s="13"/>
      <c r="F399" s="13" t="s">
        <v>33</v>
      </c>
    </row>
    <row r="400" spans="1:6" x14ac:dyDescent="0.3">
      <c r="A400" s="21">
        <v>46099</v>
      </c>
      <c r="B400" s="13" t="s">
        <v>395</v>
      </c>
      <c r="C400" s="14">
        <v>311.85000000000002</v>
      </c>
      <c r="D400" s="13"/>
      <c r="E400" s="13"/>
      <c r="F400" s="13" t="s">
        <v>37</v>
      </c>
    </row>
    <row r="401" spans="1:6" x14ac:dyDescent="0.3">
      <c r="A401" s="21">
        <v>46099</v>
      </c>
      <c r="B401" s="13" t="s">
        <v>396</v>
      </c>
      <c r="C401" s="14">
        <v>9823.64</v>
      </c>
      <c r="D401" s="13"/>
      <c r="E401" s="13"/>
      <c r="F401" s="13" t="s">
        <v>28</v>
      </c>
    </row>
    <row r="402" spans="1:6" x14ac:dyDescent="0.3">
      <c r="A402" s="21">
        <v>46099</v>
      </c>
      <c r="B402" s="13" t="s">
        <v>397</v>
      </c>
      <c r="C402" s="14">
        <v>106622.81</v>
      </c>
      <c r="D402" s="13"/>
      <c r="E402" s="13"/>
      <c r="F402" s="13" t="s">
        <v>26</v>
      </c>
    </row>
    <row r="403" spans="1:6" x14ac:dyDescent="0.3">
      <c r="A403" s="21">
        <v>46100</v>
      </c>
      <c r="B403" s="13" t="s">
        <v>398</v>
      </c>
      <c r="C403" s="13"/>
      <c r="D403" s="14">
        <v>120730.65</v>
      </c>
      <c r="E403" s="13"/>
      <c r="F403" s="13" t="s">
        <v>51</v>
      </c>
    </row>
    <row r="404" spans="1:6" x14ac:dyDescent="0.3">
      <c r="A404" s="21">
        <v>46100</v>
      </c>
      <c r="B404" s="13" t="s">
        <v>72</v>
      </c>
      <c r="C404" s="14">
        <v>2835</v>
      </c>
      <c r="D404" s="13"/>
      <c r="E404" s="13"/>
      <c r="F404" s="13" t="s">
        <v>33</v>
      </c>
    </row>
    <row r="405" spans="1:6" x14ac:dyDescent="0.3">
      <c r="A405" s="21">
        <v>46100</v>
      </c>
      <c r="B405" s="13" t="s">
        <v>74</v>
      </c>
      <c r="C405" s="14">
        <v>595.35</v>
      </c>
      <c r="D405" s="13"/>
      <c r="E405" s="13"/>
      <c r="F405" s="13" t="s">
        <v>37</v>
      </c>
    </row>
    <row r="406" spans="1:6" x14ac:dyDescent="0.3">
      <c r="A406" s="21">
        <v>46100</v>
      </c>
      <c r="B406" s="13" t="s">
        <v>75</v>
      </c>
      <c r="C406" s="14">
        <v>85.05</v>
      </c>
      <c r="D406" s="13"/>
      <c r="E406" s="13"/>
      <c r="F406" s="13" t="s">
        <v>37</v>
      </c>
    </row>
    <row r="407" spans="1:6" x14ac:dyDescent="0.3">
      <c r="A407" s="21">
        <v>46100</v>
      </c>
      <c r="B407" s="13" t="s">
        <v>399</v>
      </c>
      <c r="C407" s="13"/>
      <c r="D407" s="14">
        <v>167171.23000000001</v>
      </c>
      <c r="E407" s="13"/>
      <c r="F407" s="13" t="s">
        <v>51</v>
      </c>
    </row>
    <row r="408" spans="1:6" x14ac:dyDescent="0.3">
      <c r="A408" s="21">
        <v>46100</v>
      </c>
      <c r="B408" s="13" t="s">
        <v>400</v>
      </c>
      <c r="C408" s="14">
        <v>500000</v>
      </c>
      <c r="D408" s="13"/>
      <c r="E408" s="13"/>
      <c r="F408" s="13" t="s">
        <v>51</v>
      </c>
    </row>
    <row r="409" spans="1:6" x14ac:dyDescent="0.3">
      <c r="A409" s="21">
        <v>46100</v>
      </c>
      <c r="B409" s="13" t="s">
        <v>401</v>
      </c>
      <c r="C409" s="14">
        <v>104674.24000000001</v>
      </c>
      <c r="D409" s="13"/>
      <c r="E409" s="13"/>
      <c r="F409" s="13" t="s">
        <v>51</v>
      </c>
    </row>
    <row r="410" spans="1:6" x14ac:dyDescent="0.3">
      <c r="A410" s="21">
        <v>46100</v>
      </c>
      <c r="B410" s="13" t="s">
        <v>402</v>
      </c>
      <c r="C410" s="14">
        <v>195570</v>
      </c>
      <c r="D410" s="13"/>
      <c r="E410" s="13"/>
      <c r="F410" s="13" t="s">
        <v>51</v>
      </c>
    </row>
    <row r="411" spans="1:6" x14ac:dyDescent="0.3">
      <c r="A411" s="21">
        <v>46100</v>
      </c>
      <c r="B411" s="13" t="s">
        <v>403</v>
      </c>
      <c r="C411" s="14">
        <v>181720</v>
      </c>
      <c r="D411" s="13"/>
      <c r="E411" s="13"/>
      <c r="F411" s="13" t="s">
        <v>51</v>
      </c>
    </row>
    <row r="412" spans="1:6" x14ac:dyDescent="0.3">
      <c r="A412" s="21">
        <v>46100</v>
      </c>
      <c r="B412" s="13" t="s">
        <v>404</v>
      </c>
      <c r="C412" s="14">
        <v>3623449.92</v>
      </c>
      <c r="D412" s="13"/>
      <c r="E412" s="13"/>
      <c r="F412" s="13" t="s">
        <v>51</v>
      </c>
    </row>
    <row r="413" spans="1:6" x14ac:dyDescent="0.3">
      <c r="A413" s="21">
        <v>46100</v>
      </c>
      <c r="B413" s="13" t="s">
        <v>405</v>
      </c>
      <c r="C413" s="13"/>
      <c r="D413" s="14">
        <v>64102.9</v>
      </c>
      <c r="E413" s="13"/>
      <c r="F413" s="13" t="s">
        <v>51</v>
      </c>
    </row>
    <row r="414" spans="1:6" x14ac:dyDescent="0.3">
      <c r="A414" s="21">
        <v>46100</v>
      </c>
      <c r="B414" s="13" t="s">
        <v>406</v>
      </c>
      <c r="C414" s="13"/>
      <c r="D414" s="14">
        <v>10794.93</v>
      </c>
      <c r="E414" s="13"/>
      <c r="F414" s="13" t="s">
        <v>51</v>
      </c>
    </row>
    <row r="415" spans="1:6" x14ac:dyDescent="0.3">
      <c r="A415" s="21">
        <v>46100</v>
      </c>
      <c r="B415" s="13" t="s">
        <v>407</v>
      </c>
      <c r="C415" s="13"/>
      <c r="D415" s="14">
        <v>302007</v>
      </c>
      <c r="E415" s="13"/>
      <c r="F415" s="13" t="s">
        <v>51</v>
      </c>
    </row>
    <row r="416" spans="1:6" x14ac:dyDescent="0.3">
      <c r="A416" s="21">
        <v>46100</v>
      </c>
      <c r="B416" s="13" t="s">
        <v>408</v>
      </c>
      <c r="C416" s="13"/>
      <c r="D416" s="14">
        <v>4261383.5199999996</v>
      </c>
      <c r="E416" s="13"/>
      <c r="F416" s="13" t="s">
        <v>51</v>
      </c>
    </row>
    <row r="417" spans="1:6" x14ac:dyDescent="0.3">
      <c r="A417" s="21">
        <v>46100</v>
      </c>
      <c r="B417" s="13" t="s">
        <v>409</v>
      </c>
      <c r="C417" s="13"/>
      <c r="D417" s="14">
        <v>36568.519999999997</v>
      </c>
      <c r="E417" s="13"/>
      <c r="F417" s="13" t="s">
        <v>51</v>
      </c>
    </row>
    <row r="418" spans="1:6" x14ac:dyDescent="0.3">
      <c r="A418" s="21">
        <v>46100</v>
      </c>
      <c r="B418" s="13" t="s">
        <v>410</v>
      </c>
      <c r="C418" s="14">
        <v>8000000</v>
      </c>
      <c r="D418" s="13"/>
      <c r="E418" s="13"/>
      <c r="F418" s="13" t="s">
        <v>51</v>
      </c>
    </row>
    <row r="419" spans="1:6" x14ac:dyDescent="0.3">
      <c r="A419" s="21">
        <v>46100</v>
      </c>
      <c r="B419" s="13" t="s">
        <v>65</v>
      </c>
      <c r="C419" s="14">
        <v>28363.040000000001</v>
      </c>
      <c r="D419" s="13"/>
      <c r="E419" s="13"/>
      <c r="F419" s="13" t="s">
        <v>29</v>
      </c>
    </row>
    <row r="420" spans="1:6" x14ac:dyDescent="0.3">
      <c r="A420" s="21">
        <v>46100</v>
      </c>
      <c r="B420" s="13" t="s">
        <v>66</v>
      </c>
      <c r="C420" s="14">
        <v>29776.55</v>
      </c>
      <c r="D420" s="13"/>
      <c r="E420" s="13"/>
      <c r="F420" s="13" t="s">
        <v>31</v>
      </c>
    </row>
    <row r="421" spans="1:6" x14ac:dyDescent="0.3">
      <c r="A421" s="21">
        <v>46100</v>
      </c>
      <c r="B421" s="13" t="s">
        <v>411</v>
      </c>
      <c r="C421" s="14">
        <v>720</v>
      </c>
      <c r="D421" s="13"/>
      <c r="E421" s="13"/>
      <c r="F421" s="13" t="s">
        <v>33</v>
      </c>
    </row>
    <row r="422" spans="1:6" x14ac:dyDescent="0.3">
      <c r="A422" s="21">
        <v>46100</v>
      </c>
      <c r="B422" s="13" t="s">
        <v>412</v>
      </c>
      <c r="C422" s="14">
        <v>151.19999999999999</v>
      </c>
      <c r="D422" s="13"/>
      <c r="E422" s="13"/>
      <c r="F422" s="13" t="s">
        <v>37</v>
      </c>
    </row>
    <row r="423" spans="1:6" x14ac:dyDescent="0.3">
      <c r="A423" s="21">
        <v>46100</v>
      </c>
      <c r="B423" s="13" t="s">
        <v>413</v>
      </c>
      <c r="C423" s="14">
        <v>720</v>
      </c>
      <c r="D423" s="13"/>
      <c r="E423" s="13"/>
      <c r="F423" s="13" t="s">
        <v>33</v>
      </c>
    </row>
    <row r="424" spans="1:6" x14ac:dyDescent="0.3">
      <c r="A424" s="21">
        <v>46100</v>
      </c>
      <c r="B424" s="13" t="s">
        <v>414</v>
      </c>
      <c r="C424" s="14">
        <v>151.19999999999999</v>
      </c>
      <c r="D424" s="13"/>
      <c r="E424" s="13"/>
      <c r="F424" s="13" t="s">
        <v>37</v>
      </c>
    </row>
    <row r="425" spans="1:6" x14ac:dyDescent="0.3">
      <c r="A425" s="21">
        <v>46100</v>
      </c>
      <c r="B425" s="13" t="s">
        <v>415</v>
      </c>
      <c r="C425" s="14">
        <v>720</v>
      </c>
      <c r="D425" s="13"/>
      <c r="E425" s="13"/>
      <c r="F425" s="13" t="s">
        <v>33</v>
      </c>
    </row>
    <row r="426" spans="1:6" x14ac:dyDescent="0.3">
      <c r="A426" s="21">
        <v>46100</v>
      </c>
      <c r="B426" s="13" t="s">
        <v>416</v>
      </c>
      <c r="C426" s="14">
        <v>151.19999999999999</v>
      </c>
      <c r="D426" s="13"/>
      <c r="E426" s="13"/>
      <c r="F426" s="13" t="s">
        <v>37</v>
      </c>
    </row>
    <row r="427" spans="1:6" x14ac:dyDescent="0.3">
      <c r="A427" s="21">
        <v>46100</v>
      </c>
      <c r="B427" s="13" t="s">
        <v>417</v>
      </c>
      <c r="C427" s="14">
        <v>1485</v>
      </c>
      <c r="D427" s="13"/>
      <c r="E427" s="13"/>
      <c r="F427" s="13" t="s">
        <v>33</v>
      </c>
    </row>
    <row r="428" spans="1:6" x14ac:dyDescent="0.3">
      <c r="A428" s="21">
        <v>46100</v>
      </c>
      <c r="B428" s="13" t="s">
        <v>418</v>
      </c>
      <c r="C428" s="14">
        <v>311.85000000000002</v>
      </c>
      <c r="D428" s="13"/>
      <c r="E428" s="13"/>
      <c r="F428" s="13" t="s">
        <v>37</v>
      </c>
    </row>
    <row r="429" spans="1:6" x14ac:dyDescent="0.3">
      <c r="A429" s="21">
        <v>46100</v>
      </c>
      <c r="B429" s="13" t="s">
        <v>419</v>
      </c>
      <c r="C429" s="14">
        <v>5754.7</v>
      </c>
      <c r="D429" s="13"/>
      <c r="E429" s="13"/>
      <c r="F429" s="13" t="s">
        <v>28</v>
      </c>
    </row>
    <row r="430" spans="1:6" x14ac:dyDescent="0.3">
      <c r="A430" s="21">
        <v>46100</v>
      </c>
      <c r="B430" s="13" t="s">
        <v>420</v>
      </c>
      <c r="C430" s="14">
        <v>59553.09</v>
      </c>
      <c r="D430" s="13"/>
      <c r="E430" s="13"/>
      <c r="F430" s="13" t="s">
        <v>26</v>
      </c>
    </row>
    <row r="431" spans="1:6" x14ac:dyDescent="0.3">
      <c r="A431" s="21">
        <v>46101</v>
      </c>
      <c r="B431" s="13" t="s">
        <v>70</v>
      </c>
      <c r="C431" s="13"/>
      <c r="D431" s="14">
        <v>292236</v>
      </c>
      <c r="E431" s="13"/>
      <c r="F431" s="13" t="s">
        <v>51</v>
      </c>
    </row>
    <row r="432" spans="1:6" x14ac:dyDescent="0.3">
      <c r="A432" s="21">
        <v>46101</v>
      </c>
      <c r="B432" s="13" t="s">
        <v>421</v>
      </c>
      <c r="C432" s="13"/>
      <c r="D432" s="14">
        <v>163099.23000000001</v>
      </c>
      <c r="E432" s="13"/>
      <c r="F432" s="13" t="s">
        <v>51</v>
      </c>
    </row>
    <row r="433" spans="1:6" x14ac:dyDescent="0.3">
      <c r="A433" s="21">
        <v>46101</v>
      </c>
      <c r="B433" s="13" t="s">
        <v>422</v>
      </c>
      <c r="C433" s="14">
        <v>851420.4</v>
      </c>
      <c r="D433" s="13"/>
      <c r="E433" s="13"/>
      <c r="F433" s="13" t="s">
        <v>53</v>
      </c>
    </row>
    <row r="434" spans="1:6" x14ac:dyDescent="0.3">
      <c r="A434" s="21">
        <v>46101</v>
      </c>
      <c r="B434" s="13" t="s">
        <v>423</v>
      </c>
      <c r="C434" s="14">
        <v>538393.30000000005</v>
      </c>
      <c r="D434" s="13"/>
      <c r="E434" s="13"/>
      <c r="F434" s="13" t="s">
        <v>53</v>
      </c>
    </row>
    <row r="435" spans="1:6" x14ac:dyDescent="0.3">
      <c r="A435" s="21">
        <v>46101</v>
      </c>
      <c r="B435" s="13" t="s">
        <v>72</v>
      </c>
      <c r="C435" s="14">
        <v>2835</v>
      </c>
      <c r="D435" s="13"/>
      <c r="E435" s="13"/>
      <c r="F435" s="13" t="s">
        <v>33</v>
      </c>
    </row>
    <row r="436" spans="1:6" x14ac:dyDescent="0.3">
      <c r="A436" s="21">
        <v>46101</v>
      </c>
      <c r="B436" s="13" t="s">
        <v>74</v>
      </c>
      <c r="C436" s="14">
        <v>595.35</v>
      </c>
      <c r="D436" s="13"/>
      <c r="E436" s="13"/>
      <c r="F436" s="13" t="s">
        <v>37</v>
      </c>
    </row>
    <row r="437" spans="1:6" x14ac:dyDescent="0.3">
      <c r="A437" s="21">
        <v>46101</v>
      </c>
      <c r="B437" s="13" t="s">
        <v>75</v>
      </c>
      <c r="C437" s="14">
        <v>85.05</v>
      </c>
      <c r="D437" s="13"/>
      <c r="E437" s="13"/>
      <c r="F437" s="13" t="s">
        <v>37</v>
      </c>
    </row>
    <row r="438" spans="1:6" x14ac:dyDescent="0.3">
      <c r="A438" s="21">
        <v>46101</v>
      </c>
      <c r="B438" s="13" t="s">
        <v>424</v>
      </c>
      <c r="C438" s="13"/>
      <c r="D438" s="14">
        <v>717.75</v>
      </c>
      <c r="E438" s="13"/>
      <c r="F438" s="13" t="s">
        <v>51</v>
      </c>
    </row>
    <row r="439" spans="1:6" x14ac:dyDescent="0.3">
      <c r="A439" s="21">
        <v>46101</v>
      </c>
      <c r="B439" s="13" t="s">
        <v>425</v>
      </c>
      <c r="C439" s="13"/>
      <c r="D439" s="14">
        <v>25222.41</v>
      </c>
      <c r="E439" s="13"/>
      <c r="F439" s="13" t="s">
        <v>51</v>
      </c>
    </row>
    <row r="440" spans="1:6" x14ac:dyDescent="0.3">
      <c r="A440" s="21">
        <v>46101</v>
      </c>
      <c r="B440" s="13" t="s">
        <v>426</v>
      </c>
      <c r="C440" s="13"/>
      <c r="D440" s="14">
        <v>145483.63</v>
      </c>
      <c r="E440" s="13"/>
      <c r="F440" s="13" t="s">
        <v>51</v>
      </c>
    </row>
    <row r="441" spans="1:6" x14ac:dyDescent="0.3">
      <c r="A441" s="21">
        <v>46101</v>
      </c>
      <c r="B441" s="13" t="s">
        <v>427</v>
      </c>
      <c r="C441" s="13"/>
      <c r="D441" s="14">
        <v>4000000</v>
      </c>
      <c r="E441" s="13"/>
      <c r="F441" s="13" t="s">
        <v>51</v>
      </c>
    </row>
    <row r="442" spans="1:6" x14ac:dyDescent="0.3">
      <c r="A442" s="21">
        <v>46101</v>
      </c>
      <c r="B442" s="13" t="s">
        <v>428</v>
      </c>
      <c r="C442" s="13"/>
      <c r="D442" s="14">
        <v>309276</v>
      </c>
      <c r="E442" s="13"/>
      <c r="F442" s="13" t="s">
        <v>51</v>
      </c>
    </row>
    <row r="443" spans="1:6" x14ac:dyDescent="0.3">
      <c r="A443" s="21">
        <v>46101</v>
      </c>
      <c r="B443" s="13" t="s">
        <v>429</v>
      </c>
      <c r="C443" s="13"/>
      <c r="D443" s="14">
        <v>140030.04</v>
      </c>
      <c r="E443" s="13"/>
      <c r="F443" s="13" t="s">
        <v>51</v>
      </c>
    </row>
    <row r="444" spans="1:6" x14ac:dyDescent="0.3">
      <c r="A444" s="21">
        <v>46101</v>
      </c>
      <c r="B444" s="13" t="s">
        <v>430</v>
      </c>
      <c r="C444" s="13"/>
      <c r="D444" s="14">
        <v>167919.12</v>
      </c>
      <c r="E444" s="13"/>
      <c r="F444" s="13" t="s">
        <v>51</v>
      </c>
    </row>
    <row r="445" spans="1:6" x14ac:dyDescent="0.3">
      <c r="A445" s="21">
        <v>46101</v>
      </c>
      <c r="B445" s="13" t="s">
        <v>431</v>
      </c>
      <c r="C445" s="14">
        <v>3000000</v>
      </c>
      <c r="D445" s="13"/>
      <c r="E445" s="13"/>
      <c r="F445" s="13" t="s">
        <v>51</v>
      </c>
    </row>
    <row r="446" spans="1:6" x14ac:dyDescent="0.3">
      <c r="A446" s="21">
        <v>46101</v>
      </c>
      <c r="B446" s="13" t="s">
        <v>432</v>
      </c>
      <c r="C446" s="13"/>
      <c r="D446" s="14">
        <v>2489256.2999999998</v>
      </c>
      <c r="E446" s="13"/>
      <c r="F446" s="13" t="s">
        <v>51</v>
      </c>
    </row>
    <row r="447" spans="1:6" x14ac:dyDescent="0.3">
      <c r="A447" s="21">
        <v>46101</v>
      </c>
      <c r="B447" s="13" t="s">
        <v>433</v>
      </c>
      <c r="C447" s="13"/>
      <c r="D447" s="14">
        <v>1836790.52</v>
      </c>
      <c r="E447" s="13"/>
      <c r="F447" s="13" t="s">
        <v>51</v>
      </c>
    </row>
    <row r="448" spans="1:6" x14ac:dyDescent="0.3">
      <c r="A448" s="21">
        <v>46101</v>
      </c>
      <c r="B448" s="13" t="s">
        <v>434</v>
      </c>
      <c r="C448" s="13"/>
      <c r="D448" s="14">
        <v>1233857.6200000001</v>
      </c>
      <c r="E448" s="13"/>
      <c r="F448" s="13" t="s">
        <v>51</v>
      </c>
    </row>
    <row r="449" spans="1:6" x14ac:dyDescent="0.3">
      <c r="A449" s="21">
        <v>46101</v>
      </c>
      <c r="B449" s="13" t="s">
        <v>66</v>
      </c>
      <c r="C449" s="14">
        <v>40823.339999999997</v>
      </c>
      <c r="D449" s="13"/>
      <c r="E449" s="13"/>
      <c r="F449" s="13" t="s">
        <v>31</v>
      </c>
    </row>
    <row r="450" spans="1:6" x14ac:dyDescent="0.3">
      <c r="A450" s="21">
        <v>46101</v>
      </c>
      <c r="B450" s="13" t="s">
        <v>65</v>
      </c>
      <c r="C450" s="14">
        <v>8778.2900000000009</v>
      </c>
      <c r="D450" s="13"/>
      <c r="E450" s="13"/>
      <c r="F450" s="13" t="s">
        <v>29</v>
      </c>
    </row>
    <row r="451" spans="1:6" x14ac:dyDescent="0.3">
      <c r="A451" s="21">
        <v>46101</v>
      </c>
      <c r="B451" s="13" t="s">
        <v>435</v>
      </c>
      <c r="C451" s="14">
        <v>7938.68</v>
      </c>
      <c r="D451" s="13"/>
      <c r="E451" s="13"/>
      <c r="F451" s="13" t="s">
        <v>28</v>
      </c>
    </row>
    <row r="452" spans="1:6" x14ac:dyDescent="0.3">
      <c r="A452" s="21">
        <v>46101</v>
      </c>
      <c r="B452" s="13" t="s">
        <v>436</v>
      </c>
      <c r="C452" s="14">
        <v>81646.66</v>
      </c>
      <c r="D452" s="13"/>
      <c r="E452" s="13"/>
      <c r="F452" s="13" t="s">
        <v>26</v>
      </c>
    </row>
    <row r="453" spans="1:6" x14ac:dyDescent="0.3">
      <c r="A453" s="21">
        <v>46104</v>
      </c>
      <c r="B453" s="13" t="s">
        <v>437</v>
      </c>
      <c r="C453" s="13"/>
      <c r="D453" s="14">
        <v>89720.88</v>
      </c>
      <c r="E453" s="13"/>
      <c r="F453" s="13" t="s">
        <v>51</v>
      </c>
    </row>
    <row r="454" spans="1:6" x14ac:dyDescent="0.3">
      <c r="A454" s="21">
        <v>46104</v>
      </c>
      <c r="B454" s="13" t="s">
        <v>438</v>
      </c>
      <c r="C454" s="13"/>
      <c r="D454" s="14">
        <v>90764.52</v>
      </c>
      <c r="E454" s="13"/>
      <c r="F454" s="13" t="s">
        <v>51</v>
      </c>
    </row>
    <row r="455" spans="1:6" x14ac:dyDescent="0.3">
      <c r="A455" s="21">
        <v>46105</v>
      </c>
      <c r="B455" s="13" t="s">
        <v>439</v>
      </c>
      <c r="C455" s="13"/>
      <c r="D455" s="14">
        <v>13316.45</v>
      </c>
      <c r="E455" s="13"/>
      <c r="F455" s="13" t="s">
        <v>51</v>
      </c>
    </row>
    <row r="456" spans="1:6" x14ac:dyDescent="0.3">
      <c r="A456" s="21">
        <v>46106</v>
      </c>
      <c r="B456" s="13" t="s">
        <v>440</v>
      </c>
      <c r="C456" s="14">
        <v>13737.76</v>
      </c>
      <c r="D456" s="13"/>
      <c r="E456" s="13"/>
      <c r="F456" s="13" t="s">
        <v>51</v>
      </c>
    </row>
    <row r="457" spans="1:6" x14ac:dyDescent="0.3">
      <c r="A457" s="21">
        <v>46106</v>
      </c>
      <c r="B457" s="13" t="s">
        <v>441</v>
      </c>
      <c r="C457" s="13"/>
      <c r="D457" s="14">
        <v>1000000</v>
      </c>
      <c r="E457" s="13"/>
      <c r="F457" s="13" t="s">
        <v>51</v>
      </c>
    </row>
    <row r="458" spans="1:6" x14ac:dyDescent="0.3">
      <c r="A458" s="21">
        <v>46106</v>
      </c>
      <c r="B458" s="13" t="s">
        <v>442</v>
      </c>
      <c r="C458" s="13"/>
      <c r="D458" s="14">
        <v>163226.26</v>
      </c>
      <c r="E458" s="13"/>
      <c r="F458" s="13" t="s">
        <v>51</v>
      </c>
    </row>
    <row r="459" spans="1:6" x14ac:dyDescent="0.3">
      <c r="A459" s="21">
        <v>46106</v>
      </c>
      <c r="B459" s="13" t="s">
        <v>443</v>
      </c>
      <c r="C459" s="13"/>
      <c r="D459" s="14">
        <v>199383.29</v>
      </c>
      <c r="E459" s="13"/>
      <c r="F459" s="13" t="s">
        <v>51</v>
      </c>
    </row>
    <row r="460" spans="1:6" x14ac:dyDescent="0.3">
      <c r="A460" s="21">
        <v>46106</v>
      </c>
      <c r="B460" s="13" t="s">
        <v>444</v>
      </c>
      <c r="C460" s="13"/>
      <c r="D460" s="14">
        <v>6000000</v>
      </c>
      <c r="E460" s="13"/>
      <c r="F460" s="13" t="s">
        <v>51</v>
      </c>
    </row>
    <row r="461" spans="1:6" x14ac:dyDescent="0.3">
      <c r="A461" s="21">
        <v>46106</v>
      </c>
      <c r="B461" s="13" t="s">
        <v>445</v>
      </c>
      <c r="C461" s="14">
        <v>250092.5</v>
      </c>
      <c r="D461" s="13"/>
      <c r="E461" s="13"/>
      <c r="F461" s="13" t="s">
        <v>51</v>
      </c>
    </row>
    <row r="462" spans="1:6" x14ac:dyDescent="0.3">
      <c r="A462" s="21">
        <v>46106</v>
      </c>
      <c r="B462" s="13" t="s">
        <v>446</v>
      </c>
      <c r="C462" s="14">
        <v>117854.59</v>
      </c>
      <c r="D462" s="13"/>
      <c r="E462" s="13"/>
      <c r="F462" s="13" t="s">
        <v>51</v>
      </c>
    </row>
    <row r="463" spans="1:6" x14ac:dyDescent="0.3">
      <c r="A463" s="21">
        <v>46106</v>
      </c>
      <c r="B463" s="13" t="s">
        <v>447</v>
      </c>
      <c r="C463" s="14">
        <v>4108378.73</v>
      </c>
      <c r="D463" s="13"/>
      <c r="E463" s="13"/>
      <c r="F463" s="13" t="s">
        <v>51</v>
      </c>
    </row>
    <row r="464" spans="1:6" x14ac:dyDescent="0.3">
      <c r="A464" s="21">
        <v>46106</v>
      </c>
      <c r="B464" s="13" t="s">
        <v>448</v>
      </c>
      <c r="C464" s="14">
        <v>63907.44</v>
      </c>
      <c r="D464" s="13"/>
      <c r="E464" s="13"/>
      <c r="F464" s="13" t="s">
        <v>51</v>
      </c>
    </row>
    <row r="465" spans="1:6" x14ac:dyDescent="0.3">
      <c r="A465" s="21">
        <v>46106</v>
      </c>
      <c r="B465" s="13" t="s">
        <v>449</v>
      </c>
      <c r="C465" s="14">
        <v>810669.2</v>
      </c>
      <c r="D465" s="13"/>
      <c r="E465" s="13"/>
      <c r="F465" s="13" t="s">
        <v>51</v>
      </c>
    </row>
    <row r="466" spans="1:6" x14ac:dyDescent="0.3">
      <c r="A466" s="21">
        <v>46106</v>
      </c>
      <c r="B466" s="13" t="s">
        <v>450</v>
      </c>
      <c r="C466" s="14">
        <v>1536141.96</v>
      </c>
      <c r="D466" s="13"/>
      <c r="E466" s="13"/>
      <c r="F466" s="13" t="s">
        <v>51</v>
      </c>
    </row>
    <row r="467" spans="1:6" x14ac:dyDescent="0.3">
      <c r="A467" s="21">
        <v>46106</v>
      </c>
      <c r="B467" s="13" t="s">
        <v>451</v>
      </c>
      <c r="C467" s="14">
        <v>386428.77</v>
      </c>
      <c r="D467" s="13"/>
      <c r="E467" s="13"/>
      <c r="F467" s="13" t="s">
        <v>51</v>
      </c>
    </row>
    <row r="468" spans="1:6" x14ac:dyDescent="0.3">
      <c r="A468" s="21">
        <v>46106</v>
      </c>
      <c r="B468" s="13" t="s">
        <v>452</v>
      </c>
      <c r="C468" s="14">
        <v>1006489.17</v>
      </c>
      <c r="D468" s="13"/>
      <c r="E468" s="13"/>
      <c r="F468" s="13" t="s">
        <v>51</v>
      </c>
    </row>
    <row r="469" spans="1:6" x14ac:dyDescent="0.3">
      <c r="A469" s="21">
        <v>46106</v>
      </c>
      <c r="B469" s="13" t="s">
        <v>453</v>
      </c>
      <c r="C469" s="14">
        <v>52889.1</v>
      </c>
      <c r="D469" s="13"/>
      <c r="E469" s="13"/>
      <c r="F469" s="13" t="s">
        <v>51</v>
      </c>
    </row>
    <row r="470" spans="1:6" x14ac:dyDescent="0.3">
      <c r="A470" s="21">
        <v>46106</v>
      </c>
      <c r="B470" s="13" t="s">
        <v>454</v>
      </c>
      <c r="C470" s="14">
        <v>259806.86</v>
      </c>
      <c r="D470" s="13"/>
      <c r="E470" s="13"/>
      <c r="F470" s="13" t="s">
        <v>51</v>
      </c>
    </row>
    <row r="471" spans="1:6" x14ac:dyDescent="0.3">
      <c r="A471" s="21">
        <v>46106</v>
      </c>
      <c r="B471" s="13" t="s">
        <v>455</v>
      </c>
      <c r="C471" s="14">
        <v>253421.8</v>
      </c>
      <c r="D471" s="13"/>
      <c r="E471" s="13"/>
      <c r="F471" s="13" t="s">
        <v>51</v>
      </c>
    </row>
    <row r="472" spans="1:6" x14ac:dyDescent="0.3">
      <c r="A472" s="21">
        <v>46106</v>
      </c>
      <c r="B472" s="13" t="s">
        <v>456</v>
      </c>
      <c r="C472" s="14">
        <v>851000</v>
      </c>
      <c r="D472" s="13"/>
      <c r="E472" s="13"/>
      <c r="F472" s="13" t="s">
        <v>51</v>
      </c>
    </row>
    <row r="473" spans="1:6" x14ac:dyDescent="0.3">
      <c r="A473" s="21">
        <v>46106</v>
      </c>
      <c r="B473" s="13" t="s">
        <v>457</v>
      </c>
      <c r="C473" s="13"/>
      <c r="D473" s="14">
        <v>612349.85</v>
      </c>
      <c r="E473" s="13"/>
      <c r="F473" s="13" t="s">
        <v>51</v>
      </c>
    </row>
    <row r="474" spans="1:6" x14ac:dyDescent="0.3">
      <c r="A474" s="21">
        <v>46106</v>
      </c>
      <c r="B474" s="13" t="s">
        <v>458</v>
      </c>
      <c r="C474" s="14">
        <v>5000000</v>
      </c>
      <c r="D474" s="13"/>
      <c r="E474" s="13"/>
      <c r="F474" s="13" t="s">
        <v>51</v>
      </c>
    </row>
    <row r="475" spans="1:6" x14ac:dyDescent="0.3">
      <c r="A475" s="21">
        <v>46106</v>
      </c>
      <c r="B475" s="13" t="s">
        <v>459</v>
      </c>
      <c r="C475" s="13"/>
      <c r="D475" s="14">
        <v>774090</v>
      </c>
      <c r="E475" s="13"/>
      <c r="F475" s="13" t="s">
        <v>51</v>
      </c>
    </row>
    <row r="476" spans="1:6" x14ac:dyDescent="0.3">
      <c r="A476" s="21">
        <v>46106</v>
      </c>
      <c r="B476" s="13" t="s">
        <v>460</v>
      </c>
      <c r="C476" s="13"/>
      <c r="D476" s="14">
        <v>552006.21</v>
      </c>
      <c r="E476" s="13"/>
      <c r="F476" s="13" t="s">
        <v>51</v>
      </c>
    </row>
    <row r="477" spans="1:6" x14ac:dyDescent="0.3">
      <c r="A477" s="21">
        <v>46106</v>
      </c>
      <c r="B477" s="13" t="s">
        <v>461</v>
      </c>
      <c r="C477" s="13"/>
      <c r="D477" s="14">
        <v>20206.2</v>
      </c>
      <c r="E477" s="13"/>
      <c r="F477" s="13" t="s">
        <v>51</v>
      </c>
    </row>
    <row r="478" spans="1:6" x14ac:dyDescent="0.3">
      <c r="A478" s="21">
        <v>46106</v>
      </c>
      <c r="B478" s="13" t="s">
        <v>462</v>
      </c>
      <c r="C478" s="13"/>
      <c r="D478" s="14">
        <v>314127.17</v>
      </c>
      <c r="E478" s="13"/>
      <c r="F478" s="13" t="s">
        <v>51</v>
      </c>
    </row>
    <row r="479" spans="1:6" x14ac:dyDescent="0.3">
      <c r="A479" s="21">
        <v>46106</v>
      </c>
      <c r="B479" s="13" t="s">
        <v>65</v>
      </c>
      <c r="C479" s="14">
        <v>58802.42</v>
      </c>
      <c r="D479" s="13"/>
      <c r="E479" s="13"/>
      <c r="F479" s="13" t="s">
        <v>29</v>
      </c>
    </row>
    <row r="480" spans="1:6" x14ac:dyDescent="0.3">
      <c r="A480" s="21">
        <v>46106</v>
      </c>
      <c r="B480" s="13" t="s">
        <v>66</v>
      </c>
      <c r="C480" s="14">
        <v>16975.16</v>
      </c>
      <c r="D480" s="13"/>
      <c r="E480" s="13"/>
      <c r="F480" s="13" t="s">
        <v>31</v>
      </c>
    </row>
    <row r="481" spans="1:6" x14ac:dyDescent="0.3">
      <c r="A481" s="21">
        <v>46106</v>
      </c>
      <c r="B481" s="13" t="s">
        <v>463</v>
      </c>
      <c r="C481" s="14">
        <v>720</v>
      </c>
      <c r="D481" s="13"/>
      <c r="E481" s="13"/>
      <c r="F481" s="13" t="s">
        <v>33</v>
      </c>
    </row>
    <row r="482" spans="1:6" x14ac:dyDescent="0.3">
      <c r="A482" s="21">
        <v>46106</v>
      </c>
      <c r="B482" s="13" t="s">
        <v>464</v>
      </c>
      <c r="C482" s="14">
        <v>151.19999999999999</v>
      </c>
      <c r="D482" s="13"/>
      <c r="E482" s="13"/>
      <c r="F482" s="13" t="s">
        <v>37</v>
      </c>
    </row>
    <row r="483" spans="1:6" x14ac:dyDescent="0.3">
      <c r="A483" s="21">
        <v>46106</v>
      </c>
      <c r="B483" s="13" t="s">
        <v>465</v>
      </c>
      <c r="C483" s="14">
        <v>720</v>
      </c>
      <c r="D483" s="13"/>
      <c r="E483" s="13"/>
      <c r="F483" s="13" t="s">
        <v>33</v>
      </c>
    </row>
    <row r="484" spans="1:6" x14ac:dyDescent="0.3">
      <c r="A484" s="21">
        <v>46106</v>
      </c>
      <c r="B484" s="13" t="s">
        <v>466</v>
      </c>
      <c r="C484" s="14">
        <v>151.19999999999999</v>
      </c>
      <c r="D484" s="13"/>
      <c r="E484" s="13"/>
      <c r="F484" s="13" t="s">
        <v>37</v>
      </c>
    </row>
    <row r="485" spans="1:6" x14ac:dyDescent="0.3">
      <c r="A485" s="21">
        <v>46106</v>
      </c>
      <c r="B485" s="13" t="s">
        <v>467</v>
      </c>
      <c r="C485" s="14">
        <v>1485</v>
      </c>
      <c r="D485" s="13"/>
      <c r="E485" s="13"/>
      <c r="F485" s="13" t="s">
        <v>33</v>
      </c>
    </row>
    <row r="486" spans="1:6" x14ac:dyDescent="0.3">
      <c r="A486" s="21">
        <v>46106</v>
      </c>
      <c r="B486" s="13" t="s">
        <v>468</v>
      </c>
      <c r="C486" s="14">
        <v>311.85000000000002</v>
      </c>
      <c r="D486" s="13"/>
      <c r="E486" s="13"/>
      <c r="F486" s="13" t="s">
        <v>37</v>
      </c>
    </row>
    <row r="487" spans="1:6" x14ac:dyDescent="0.3">
      <c r="A487" s="21">
        <v>46106</v>
      </c>
      <c r="B487" s="13" t="s">
        <v>469</v>
      </c>
      <c r="C487" s="14">
        <v>1485</v>
      </c>
      <c r="D487" s="13"/>
      <c r="E487" s="13"/>
      <c r="F487" s="13" t="s">
        <v>33</v>
      </c>
    </row>
    <row r="488" spans="1:6" x14ac:dyDescent="0.3">
      <c r="A488" s="21">
        <v>46106</v>
      </c>
      <c r="B488" s="13" t="s">
        <v>470</v>
      </c>
      <c r="C488" s="14">
        <v>311.85000000000002</v>
      </c>
      <c r="D488" s="13"/>
      <c r="E488" s="13"/>
      <c r="F488" s="13" t="s">
        <v>37</v>
      </c>
    </row>
    <row r="489" spans="1:6" x14ac:dyDescent="0.3">
      <c r="A489" s="21">
        <v>46106</v>
      </c>
      <c r="B489" s="13" t="s">
        <v>471</v>
      </c>
      <c r="C489" s="14">
        <v>1485</v>
      </c>
      <c r="D489" s="13"/>
      <c r="E489" s="13"/>
      <c r="F489" s="13" t="s">
        <v>33</v>
      </c>
    </row>
    <row r="490" spans="1:6" x14ac:dyDescent="0.3">
      <c r="A490" s="21">
        <v>46106</v>
      </c>
      <c r="B490" s="13" t="s">
        <v>472</v>
      </c>
      <c r="C490" s="14">
        <v>311.85000000000002</v>
      </c>
      <c r="D490" s="13"/>
      <c r="E490" s="13"/>
      <c r="F490" s="13" t="s">
        <v>37</v>
      </c>
    </row>
    <row r="491" spans="1:6" x14ac:dyDescent="0.3">
      <c r="A491" s="21">
        <v>46106</v>
      </c>
      <c r="B491" s="13" t="s">
        <v>473</v>
      </c>
      <c r="C491" s="14">
        <v>1485</v>
      </c>
      <c r="D491" s="13"/>
      <c r="E491" s="13"/>
      <c r="F491" s="13" t="s">
        <v>33</v>
      </c>
    </row>
    <row r="492" spans="1:6" x14ac:dyDescent="0.3">
      <c r="A492" s="21">
        <v>46106</v>
      </c>
      <c r="B492" s="13" t="s">
        <v>474</v>
      </c>
      <c r="C492" s="14">
        <v>311.85000000000002</v>
      </c>
      <c r="D492" s="13"/>
      <c r="E492" s="13"/>
      <c r="F492" s="13" t="s">
        <v>37</v>
      </c>
    </row>
    <row r="493" spans="1:6" x14ac:dyDescent="0.3">
      <c r="A493" s="21">
        <v>46106</v>
      </c>
      <c r="B493" s="13" t="s">
        <v>475</v>
      </c>
      <c r="C493" s="14">
        <v>1485</v>
      </c>
      <c r="D493" s="13"/>
      <c r="E493" s="13"/>
      <c r="F493" s="13" t="s">
        <v>33</v>
      </c>
    </row>
    <row r="494" spans="1:6" x14ac:dyDescent="0.3">
      <c r="A494" s="21">
        <v>46106</v>
      </c>
      <c r="B494" s="13" t="s">
        <v>476</v>
      </c>
      <c r="C494" s="14">
        <v>311.85000000000002</v>
      </c>
      <c r="D494" s="13"/>
      <c r="E494" s="13"/>
      <c r="F494" s="13" t="s">
        <v>37</v>
      </c>
    </row>
    <row r="495" spans="1:6" x14ac:dyDescent="0.3">
      <c r="A495" s="21">
        <v>46106</v>
      </c>
      <c r="B495" s="13" t="s">
        <v>477</v>
      </c>
      <c r="C495" s="14">
        <v>1485</v>
      </c>
      <c r="D495" s="13"/>
      <c r="E495" s="13"/>
      <c r="F495" s="13" t="s">
        <v>33</v>
      </c>
    </row>
    <row r="496" spans="1:6" x14ac:dyDescent="0.3">
      <c r="A496" s="21">
        <v>46106</v>
      </c>
      <c r="B496" s="13" t="s">
        <v>478</v>
      </c>
      <c r="C496" s="14">
        <v>311.85000000000002</v>
      </c>
      <c r="D496" s="13"/>
      <c r="E496" s="13"/>
      <c r="F496" s="13" t="s">
        <v>37</v>
      </c>
    </row>
    <row r="497" spans="1:6" x14ac:dyDescent="0.3">
      <c r="A497" s="21">
        <v>46106</v>
      </c>
      <c r="B497" s="13" t="s">
        <v>479</v>
      </c>
      <c r="C497" s="14">
        <v>3199.17</v>
      </c>
      <c r="D497" s="13"/>
      <c r="E497" s="13"/>
      <c r="F497" s="13" t="s">
        <v>28</v>
      </c>
    </row>
    <row r="498" spans="1:6" x14ac:dyDescent="0.3">
      <c r="A498" s="21">
        <v>46106</v>
      </c>
      <c r="B498" s="13" t="s">
        <v>480</v>
      </c>
      <c r="C498" s="14">
        <v>33950.29</v>
      </c>
      <c r="D498" s="13"/>
      <c r="E498" s="13"/>
      <c r="F498" s="13" t="s">
        <v>26</v>
      </c>
    </row>
    <row r="499" spans="1:6" x14ac:dyDescent="0.3">
      <c r="A499" s="21">
        <v>46107</v>
      </c>
      <c r="B499" s="13" t="s">
        <v>69</v>
      </c>
      <c r="C499" s="13"/>
      <c r="D499" s="14">
        <v>2578525.25</v>
      </c>
      <c r="E499" s="13"/>
      <c r="F499" s="13" t="s">
        <v>51</v>
      </c>
    </row>
    <row r="500" spans="1:6" x14ac:dyDescent="0.3">
      <c r="A500" s="21">
        <v>46107</v>
      </c>
      <c r="B500" s="13" t="s">
        <v>70</v>
      </c>
      <c r="C500" s="13"/>
      <c r="D500" s="14">
        <v>3430492</v>
      </c>
      <c r="E500" s="13"/>
      <c r="F500" s="13" t="s">
        <v>51</v>
      </c>
    </row>
    <row r="501" spans="1:6" x14ac:dyDescent="0.3">
      <c r="A501" s="21">
        <v>46107</v>
      </c>
      <c r="B501" s="13" t="s">
        <v>481</v>
      </c>
      <c r="C501" s="13"/>
      <c r="D501" s="14">
        <v>765317.27</v>
      </c>
      <c r="E501" s="13"/>
      <c r="F501" s="13" t="s">
        <v>51</v>
      </c>
    </row>
    <row r="502" spans="1:6" x14ac:dyDescent="0.3">
      <c r="A502" s="21">
        <v>46107</v>
      </c>
      <c r="B502" s="13" t="s">
        <v>72</v>
      </c>
      <c r="C502" s="14">
        <v>24013.439999999999</v>
      </c>
      <c r="D502" s="13"/>
      <c r="E502" s="13"/>
      <c r="F502" s="13" t="s">
        <v>33</v>
      </c>
    </row>
    <row r="503" spans="1:6" x14ac:dyDescent="0.3">
      <c r="A503" s="21">
        <v>46107</v>
      </c>
      <c r="B503" s="13" t="s">
        <v>73</v>
      </c>
      <c r="C503" s="14">
        <v>1200.67</v>
      </c>
      <c r="D503" s="13"/>
      <c r="E503" s="13"/>
      <c r="F503" s="13" t="s">
        <v>35</v>
      </c>
    </row>
    <row r="504" spans="1:6" x14ac:dyDescent="0.3">
      <c r="A504" s="21">
        <v>46107</v>
      </c>
      <c r="B504" s="13" t="s">
        <v>74</v>
      </c>
      <c r="C504" s="14">
        <v>5042.82</v>
      </c>
      <c r="D504" s="13"/>
      <c r="E504" s="13"/>
      <c r="F504" s="13" t="s">
        <v>37</v>
      </c>
    </row>
    <row r="505" spans="1:6" x14ac:dyDescent="0.3">
      <c r="A505" s="21">
        <v>46107</v>
      </c>
      <c r="B505" s="13" t="s">
        <v>75</v>
      </c>
      <c r="C505" s="14">
        <v>720.4</v>
      </c>
      <c r="D505" s="13"/>
      <c r="E505" s="13"/>
      <c r="F505" s="13" t="s">
        <v>37</v>
      </c>
    </row>
    <row r="506" spans="1:6" x14ac:dyDescent="0.3">
      <c r="A506" s="21">
        <v>46107</v>
      </c>
      <c r="B506" s="13" t="s">
        <v>482</v>
      </c>
      <c r="C506" s="13"/>
      <c r="D506" s="14">
        <v>1656214.2</v>
      </c>
      <c r="E506" s="13"/>
      <c r="F506" s="13" t="s">
        <v>51</v>
      </c>
    </row>
    <row r="507" spans="1:6" x14ac:dyDescent="0.3">
      <c r="A507" s="21">
        <v>46107</v>
      </c>
      <c r="B507" s="13" t="s">
        <v>483</v>
      </c>
      <c r="C507" s="13"/>
      <c r="D507" s="14">
        <v>62431.53</v>
      </c>
      <c r="E507" s="13"/>
      <c r="F507" s="13" t="s">
        <v>51</v>
      </c>
    </row>
    <row r="508" spans="1:6" x14ac:dyDescent="0.3">
      <c r="A508" s="21">
        <v>46107</v>
      </c>
      <c r="B508" s="13" t="s">
        <v>484</v>
      </c>
      <c r="C508" s="13"/>
      <c r="D508" s="14">
        <v>7735380.5</v>
      </c>
      <c r="E508" s="13"/>
      <c r="F508" s="13" t="s">
        <v>51</v>
      </c>
    </row>
    <row r="509" spans="1:6" x14ac:dyDescent="0.3">
      <c r="A509" s="21">
        <v>46107</v>
      </c>
      <c r="B509" s="13" t="s">
        <v>485</v>
      </c>
      <c r="C509" s="13"/>
      <c r="D509" s="14">
        <v>315841.98</v>
      </c>
      <c r="E509" s="13"/>
      <c r="F509" s="13" t="s">
        <v>51</v>
      </c>
    </row>
    <row r="510" spans="1:6" x14ac:dyDescent="0.3">
      <c r="A510" s="21">
        <v>46107</v>
      </c>
      <c r="B510" s="13" t="s">
        <v>486</v>
      </c>
      <c r="C510" s="14">
        <v>11000000</v>
      </c>
      <c r="D510" s="13"/>
      <c r="E510" s="13"/>
      <c r="F510" s="13" t="s">
        <v>51</v>
      </c>
    </row>
    <row r="511" spans="1:6" x14ac:dyDescent="0.3">
      <c r="A511" s="21">
        <v>46107</v>
      </c>
      <c r="B511" s="13" t="s">
        <v>487</v>
      </c>
      <c r="C511" s="13"/>
      <c r="D511" s="14">
        <v>183836.79999999999</v>
      </c>
      <c r="E511" s="13"/>
      <c r="F511" s="13" t="s">
        <v>51</v>
      </c>
    </row>
    <row r="512" spans="1:6" x14ac:dyDescent="0.3">
      <c r="A512" s="21">
        <v>46107</v>
      </c>
      <c r="B512" s="13" t="s">
        <v>488</v>
      </c>
      <c r="C512" s="13"/>
      <c r="D512" s="14">
        <v>1067992.79</v>
      </c>
      <c r="E512" s="13"/>
      <c r="F512" s="13" t="s">
        <v>51</v>
      </c>
    </row>
    <row r="513" spans="1:6" x14ac:dyDescent="0.3">
      <c r="A513" s="21">
        <v>46107</v>
      </c>
      <c r="B513" s="13" t="s">
        <v>489</v>
      </c>
      <c r="C513" s="13"/>
      <c r="D513" s="14">
        <v>3000000</v>
      </c>
      <c r="E513" s="13"/>
      <c r="F513" s="13" t="s">
        <v>51</v>
      </c>
    </row>
    <row r="514" spans="1:6" x14ac:dyDescent="0.3">
      <c r="A514" s="21">
        <v>46107</v>
      </c>
      <c r="B514" s="13" t="s">
        <v>490</v>
      </c>
      <c r="C514" s="14">
        <v>5000000</v>
      </c>
      <c r="D514" s="13"/>
      <c r="E514" s="13"/>
      <c r="F514" s="13" t="s">
        <v>51</v>
      </c>
    </row>
    <row r="515" spans="1:6" x14ac:dyDescent="0.3">
      <c r="A515" s="21">
        <v>46107</v>
      </c>
      <c r="B515" s="13" t="s">
        <v>491</v>
      </c>
      <c r="C515" s="13"/>
      <c r="D515" s="14">
        <v>116041.9</v>
      </c>
      <c r="E515" s="13"/>
      <c r="F515" s="13" t="s">
        <v>51</v>
      </c>
    </row>
    <row r="516" spans="1:6" x14ac:dyDescent="0.3">
      <c r="A516" s="21">
        <v>46107</v>
      </c>
      <c r="B516" s="13" t="s">
        <v>65</v>
      </c>
      <c r="C516" s="14">
        <v>483.9</v>
      </c>
      <c r="D516" s="13"/>
      <c r="E516" s="13"/>
      <c r="F516" s="13" t="s">
        <v>29</v>
      </c>
    </row>
    <row r="517" spans="1:6" x14ac:dyDescent="0.3">
      <c r="A517" s="21">
        <v>46107</v>
      </c>
      <c r="B517" s="13" t="s">
        <v>66</v>
      </c>
      <c r="C517" s="14">
        <v>107472.44</v>
      </c>
      <c r="D517" s="13"/>
      <c r="E517" s="13"/>
      <c r="F517" s="13" t="s">
        <v>31</v>
      </c>
    </row>
    <row r="518" spans="1:6" x14ac:dyDescent="0.3">
      <c r="A518" s="21">
        <v>46107</v>
      </c>
      <c r="B518" s="13" t="s">
        <v>492</v>
      </c>
      <c r="C518" s="14">
        <v>2968.56</v>
      </c>
      <c r="D518" s="13"/>
      <c r="E518" s="13"/>
      <c r="F518" s="13" t="s">
        <v>31</v>
      </c>
    </row>
    <row r="519" spans="1:6" x14ac:dyDescent="0.3">
      <c r="A519" s="21">
        <v>46107</v>
      </c>
      <c r="B519" s="13" t="s">
        <v>493</v>
      </c>
      <c r="C519" s="14">
        <v>20501.189999999999</v>
      </c>
      <c r="D519" s="13"/>
      <c r="E519" s="13"/>
      <c r="F519" s="13" t="s">
        <v>28</v>
      </c>
    </row>
    <row r="520" spans="1:6" x14ac:dyDescent="0.3">
      <c r="A520" s="21">
        <v>46107</v>
      </c>
      <c r="B520" s="13" t="s">
        <v>494</v>
      </c>
      <c r="C520" s="14">
        <v>214944.88</v>
      </c>
      <c r="D520" s="13"/>
      <c r="E520" s="13"/>
      <c r="F520" s="13" t="s">
        <v>26</v>
      </c>
    </row>
    <row r="521" spans="1:6" x14ac:dyDescent="0.3">
      <c r="A521" s="21">
        <v>46108</v>
      </c>
      <c r="B521" s="13" t="s">
        <v>495</v>
      </c>
      <c r="C521" s="13"/>
      <c r="D521" s="14">
        <v>1122853.3500000001</v>
      </c>
      <c r="E521" s="13"/>
      <c r="F521" s="13" t="s">
        <v>51</v>
      </c>
    </row>
    <row r="522" spans="1:6" x14ac:dyDescent="0.3">
      <c r="A522" s="21">
        <v>46108</v>
      </c>
      <c r="B522" s="13" t="s">
        <v>496</v>
      </c>
      <c r="C522" s="13"/>
      <c r="D522" s="14">
        <v>1250435.77</v>
      </c>
      <c r="E522" s="13"/>
      <c r="F522" s="13" t="s">
        <v>51</v>
      </c>
    </row>
    <row r="523" spans="1:6" x14ac:dyDescent="0.3">
      <c r="A523" s="21">
        <v>46108</v>
      </c>
      <c r="B523" s="13" t="s">
        <v>497</v>
      </c>
      <c r="C523" s="13"/>
      <c r="D523" s="14">
        <v>173503.88</v>
      </c>
      <c r="E523" s="13"/>
      <c r="F523" s="13" t="s">
        <v>51</v>
      </c>
    </row>
    <row r="524" spans="1:6" x14ac:dyDescent="0.3">
      <c r="A524" s="21">
        <v>46108</v>
      </c>
      <c r="B524" s="13" t="s">
        <v>498</v>
      </c>
      <c r="C524" s="13"/>
      <c r="D524" s="14">
        <v>596451.92000000004</v>
      </c>
      <c r="E524" s="13"/>
      <c r="F524" s="13" t="s">
        <v>51</v>
      </c>
    </row>
    <row r="525" spans="1:6" x14ac:dyDescent="0.3">
      <c r="A525" s="21">
        <v>46108</v>
      </c>
      <c r="B525" s="13" t="s">
        <v>499</v>
      </c>
      <c r="C525" s="13"/>
      <c r="D525" s="14">
        <v>266713.87</v>
      </c>
      <c r="E525" s="13"/>
      <c r="F525" s="13" t="s">
        <v>51</v>
      </c>
    </row>
    <row r="526" spans="1:6" x14ac:dyDescent="0.3">
      <c r="A526" s="21">
        <v>46108</v>
      </c>
      <c r="B526" s="13" t="s">
        <v>500</v>
      </c>
      <c r="C526" s="13"/>
      <c r="D526" s="14">
        <v>107044.75</v>
      </c>
      <c r="E526" s="13"/>
      <c r="F526" s="13" t="s">
        <v>51</v>
      </c>
    </row>
    <row r="527" spans="1:6" x14ac:dyDescent="0.3">
      <c r="A527" s="21">
        <v>46108</v>
      </c>
      <c r="B527" s="13" t="s">
        <v>501</v>
      </c>
      <c r="C527" s="13"/>
      <c r="D527" s="14">
        <v>290294.55</v>
      </c>
      <c r="E527" s="13"/>
      <c r="F527" s="13" t="s">
        <v>51</v>
      </c>
    </row>
    <row r="528" spans="1:6" x14ac:dyDescent="0.3">
      <c r="A528" s="21">
        <v>46108</v>
      </c>
      <c r="B528" s="13" t="s">
        <v>502</v>
      </c>
      <c r="C528" s="14">
        <v>9000000</v>
      </c>
      <c r="D528" s="13"/>
      <c r="E528" s="13"/>
      <c r="F528" s="13" t="s">
        <v>51</v>
      </c>
    </row>
    <row r="529" spans="1:6" x14ac:dyDescent="0.3">
      <c r="A529" s="21">
        <v>46108</v>
      </c>
      <c r="B529" s="13" t="s">
        <v>503</v>
      </c>
      <c r="C529" s="13"/>
      <c r="D529" s="14">
        <v>70792.7</v>
      </c>
      <c r="E529" s="13"/>
      <c r="F529" s="13" t="s">
        <v>51</v>
      </c>
    </row>
    <row r="530" spans="1:6" x14ac:dyDescent="0.3">
      <c r="A530" s="21">
        <v>46108</v>
      </c>
      <c r="B530" s="13" t="s">
        <v>504</v>
      </c>
      <c r="C530" s="13"/>
      <c r="D530" s="14">
        <v>72514.7</v>
      </c>
      <c r="E530" s="13"/>
      <c r="F530" s="13" t="s">
        <v>51</v>
      </c>
    </row>
    <row r="531" spans="1:6" x14ac:dyDescent="0.3">
      <c r="A531" s="21">
        <v>46108</v>
      </c>
      <c r="B531" s="13" t="s">
        <v>505</v>
      </c>
      <c r="C531" s="13"/>
      <c r="D531" s="14">
        <v>106948.5</v>
      </c>
      <c r="E531" s="13"/>
      <c r="F531" s="13" t="s">
        <v>51</v>
      </c>
    </row>
    <row r="532" spans="1:6" x14ac:dyDescent="0.3">
      <c r="A532" s="21">
        <v>46108</v>
      </c>
      <c r="B532" s="13" t="s">
        <v>65</v>
      </c>
      <c r="C532" s="14">
        <v>1412.68</v>
      </c>
      <c r="D532" s="13"/>
      <c r="E532" s="13"/>
      <c r="F532" s="13" t="s">
        <v>29</v>
      </c>
    </row>
    <row r="533" spans="1:6" x14ac:dyDescent="0.3">
      <c r="A533" s="21">
        <v>46108</v>
      </c>
      <c r="B533" s="13" t="s">
        <v>66</v>
      </c>
      <c r="C533" s="14">
        <v>24345.32</v>
      </c>
      <c r="D533" s="13"/>
      <c r="E533" s="13"/>
      <c r="F533" s="13" t="s">
        <v>31</v>
      </c>
    </row>
    <row r="534" spans="1:6" x14ac:dyDescent="0.3">
      <c r="A534" s="21">
        <v>46108</v>
      </c>
      <c r="B534" s="13" t="s">
        <v>506</v>
      </c>
      <c r="C534" s="14">
        <v>48690.65</v>
      </c>
      <c r="D534" s="13"/>
      <c r="E534" s="13"/>
      <c r="F534" s="13" t="s">
        <v>26</v>
      </c>
    </row>
    <row r="535" spans="1:6" x14ac:dyDescent="0.3">
      <c r="A535" s="21">
        <v>46108</v>
      </c>
      <c r="B535" s="13" t="s">
        <v>507</v>
      </c>
      <c r="C535" s="14">
        <v>3368.53</v>
      </c>
      <c r="D535" s="13"/>
      <c r="E535" s="13"/>
      <c r="F535" s="13" t="s">
        <v>28</v>
      </c>
    </row>
    <row r="536" spans="1:6" x14ac:dyDescent="0.3">
      <c r="A536" s="21">
        <v>46110</v>
      </c>
      <c r="B536" s="13" t="s">
        <v>508</v>
      </c>
      <c r="C536" s="13"/>
      <c r="D536" s="14">
        <v>56571.58</v>
      </c>
      <c r="E536" s="13"/>
      <c r="F536" s="13" t="s">
        <v>51</v>
      </c>
    </row>
    <row r="537" spans="1:6" x14ac:dyDescent="0.3">
      <c r="A537" s="21">
        <v>46111</v>
      </c>
      <c r="B537" s="13" t="s">
        <v>509</v>
      </c>
      <c r="C537" s="14">
        <v>57500</v>
      </c>
      <c r="D537" s="13"/>
      <c r="E537" s="13"/>
      <c r="F537" s="13" t="s">
        <v>33</v>
      </c>
    </row>
    <row r="538" spans="1:6" x14ac:dyDescent="0.3">
      <c r="A538" s="21">
        <v>46111</v>
      </c>
      <c r="B538" s="13" t="s">
        <v>73</v>
      </c>
      <c r="C538" s="14">
        <v>2875</v>
      </c>
      <c r="D538" s="13"/>
      <c r="E538" s="13"/>
      <c r="F538" s="13" t="s">
        <v>35</v>
      </c>
    </row>
    <row r="539" spans="1:6" x14ac:dyDescent="0.3">
      <c r="A539" s="21">
        <v>46111</v>
      </c>
      <c r="B539" s="13" t="s">
        <v>74</v>
      </c>
      <c r="C539" s="14">
        <v>12075</v>
      </c>
      <c r="D539" s="13"/>
      <c r="E539" s="13"/>
      <c r="F539" s="13" t="s">
        <v>37</v>
      </c>
    </row>
    <row r="540" spans="1:6" x14ac:dyDescent="0.3">
      <c r="A540" s="21">
        <v>46111</v>
      </c>
      <c r="B540" s="13" t="s">
        <v>75</v>
      </c>
      <c r="C540" s="14">
        <v>1725</v>
      </c>
      <c r="D540" s="13"/>
      <c r="E540" s="13"/>
      <c r="F540" s="13" t="s">
        <v>37</v>
      </c>
    </row>
    <row r="541" spans="1:6" x14ac:dyDescent="0.3">
      <c r="A541" s="21">
        <v>46111</v>
      </c>
      <c r="B541" s="13" t="s">
        <v>510</v>
      </c>
      <c r="C541" s="14">
        <v>13825</v>
      </c>
      <c r="D541" s="13"/>
      <c r="E541" s="13"/>
      <c r="F541" s="13" t="s">
        <v>33</v>
      </c>
    </row>
    <row r="542" spans="1:6" x14ac:dyDescent="0.3">
      <c r="A542" s="21">
        <v>46111</v>
      </c>
      <c r="B542" s="13" t="s">
        <v>73</v>
      </c>
      <c r="C542" s="14">
        <v>691.25</v>
      </c>
      <c r="D542" s="13"/>
      <c r="E542" s="13"/>
      <c r="F542" s="13" t="s">
        <v>35</v>
      </c>
    </row>
    <row r="543" spans="1:6" x14ac:dyDescent="0.3">
      <c r="A543" s="21">
        <v>46111</v>
      </c>
      <c r="B543" s="13" t="s">
        <v>74</v>
      </c>
      <c r="C543" s="14">
        <v>2903.25</v>
      </c>
      <c r="D543" s="13"/>
      <c r="E543" s="13"/>
      <c r="F543" s="13" t="s">
        <v>37</v>
      </c>
    </row>
    <row r="544" spans="1:6" x14ac:dyDescent="0.3">
      <c r="A544" s="21">
        <v>46111</v>
      </c>
      <c r="B544" s="13" t="s">
        <v>75</v>
      </c>
      <c r="C544" s="14">
        <v>414.75</v>
      </c>
      <c r="D544" s="13"/>
      <c r="E544" s="13"/>
      <c r="F544" s="13" t="s">
        <v>37</v>
      </c>
    </row>
    <row r="545" spans="1:6" x14ac:dyDescent="0.3">
      <c r="A545" s="21">
        <v>46111</v>
      </c>
      <c r="B545" s="13" t="s">
        <v>511</v>
      </c>
      <c r="C545" s="13"/>
      <c r="D545" s="14">
        <v>51963.28</v>
      </c>
      <c r="E545" s="13"/>
      <c r="F545" s="13" t="s">
        <v>51</v>
      </c>
    </row>
    <row r="546" spans="1:6" x14ac:dyDescent="0.3">
      <c r="A546" s="21">
        <v>46111</v>
      </c>
      <c r="B546" s="13" t="s">
        <v>512</v>
      </c>
      <c r="C546" s="13"/>
      <c r="D546" s="14">
        <v>101094</v>
      </c>
      <c r="E546" s="13"/>
      <c r="F546" s="13" t="s">
        <v>51</v>
      </c>
    </row>
    <row r="547" spans="1:6" x14ac:dyDescent="0.3">
      <c r="A547" s="21">
        <v>46111</v>
      </c>
      <c r="B547" s="13" t="s">
        <v>513</v>
      </c>
      <c r="C547" s="13"/>
      <c r="D547" s="14">
        <v>1176895.48</v>
      </c>
      <c r="E547" s="13"/>
      <c r="F547" s="13" t="s">
        <v>51</v>
      </c>
    </row>
    <row r="548" spans="1:6" x14ac:dyDescent="0.3">
      <c r="A548" s="21">
        <v>46111</v>
      </c>
      <c r="B548" s="13" t="s">
        <v>514</v>
      </c>
      <c r="C548" s="13"/>
      <c r="D548" s="14">
        <v>128041.62</v>
      </c>
      <c r="E548" s="13"/>
      <c r="F548" s="13" t="s">
        <v>51</v>
      </c>
    </row>
    <row r="549" spans="1:6" x14ac:dyDescent="0.3">
      <c r="A549" s="21">
        <v>46111</v>
      </c>
      <c r="B549" s="13" t="s">
        <v>515</v>
      </c>
      <c r="C549" s="13"/>
      <c r="D549" s="14">
        <v>855779.96</v>
      </c>
      <c r="E549" s="13"/>
      <c r="F549" s="13" t="s">
        <v>51</v>
      </c>
    </row>
    <row r="550" spans="1:6" x14ac:dyDescent="0.3">
      <c r="A550" s="21">
        <v>46111</v>
      </c>
      <c r="B550" s="13" t="s">
        <v>516</v>
      </c>
      <c r="C550" s="13"/>
      <c r="D550" s="14">
        <v>308187</v>
      </c>
      <c r="E550" s="13"/>
      <c r="F550" s="13" t="s">
        <v>51</v>
      </c>
    </row>
    <row r="551" spans="1:6" x14ac:dyDescent="0.3">
      <c r="A551" s="21">
        <v>46111</v>
      </c>
      <c r="B551" s="13" t="s">
        <v>517</v>
      </c>
      <c r="C551" s="13"/>
      <c r="D551" s="14">
        <v>1500000</v>
      </c>
      <c r="E551" s="13"/>
      <c r="F551" s="13" t="s">
        <v>51</v>
      </c>
    </row>
    <row r="552" spans="1:6" x14ac:dyDescent="0.3">
      <c r="A552" s="21">
        <v>46111</v>
      </c>
      <c r="B552" s="13" t="s">
        <v>518</v>
      </c>
      <c r="C552" s="13"/>
      <c r="D552" s="14">
        <v>3000000</v>
      </c>
      <c r="E552" s="13"/>
      <c r="F552" s="13" t="s">
        <v>51</v>
      </c>
    </row>
    <row r="553" spans="1:6" x14ac:dyDescent="0.3">
      <c r="A553" s="21">
        <v>46111</v>
      </c>
      <c r="B553" s="13" t="s">
        <v>519</v>
      </c>
      <c r="C553" s="13"/>
      <c r="D553" s="14">
        <v>15000000</v>
      </c>
      <c r="E553" s="13"/>
      <c r="F553" s="13" t="s">
        <v>51</v>
      </c>
    </row>
    <row r="554" spans="1:6" x14ac:dyDescent="0.3">
      <c r="A554" s="21">
        <v>46111</v>
      </c>
      <c r="B554" s="13" t="s">
        <v>520</v>
      </c>
      <c r="C554" s="14">
        <v>3000000</v>
      </c>
      <c r="D554" s="13"/>
      <c r="E554" s="13"/>
      <c r="F554" s="13" t="s">
        <v>51</v>
      </c>
    </row>
    <row r="555" spans="1:6" x14ac:dyDescent="0.3">
      <c r="A555" s="21">
        <v>46111</v>
      </c>
      <c r="B555" s="13" t="s">
        <v>521</v>
      </c>
      <c r="C555" s="14">
        <v>542786.63</v>
      </c>
      <c r="D555" s="13"/>
      <c r="E555" s="13"/>
      <c r="F555" s="13" t="s">
        <v>51</v>
      </c>
    </row>
    <row r="556" spans="1:6" x14ac:dyDescent="0.3">
      <c r="A556" s="21">
        <v>46111</v>
      </c>
      <c r="B556" s="13" t="s">
        <v>522</v>
      </c>
      <c r="C556" s="14">
        <v>211750</v>
      </c>
      <c r="D556" s="13"/>
      <c r="E556" s="13"/>
      <c r="F556" s="13" t="s">
        <v>51</v>
      </c>
    </row>
    <row r="557" spans="1:6" x14ac:dyDescent="0.3">
      <c r="A557" s="21">
        <v>46111</v>
      </c>
      <c r="B557" s="13" t="s">
        <v>523</v>
      </c>
      <c r="C557" s="14">
        <v>10615330</v>
      </c>
      <c r="D557" s="13"/>
      <c r="E557" s="13"/>
      <c r="F557" s="13" t="s">
        <v>51</v>
      </c>
    </row>
    <row r="558" spans="1:6" x14ac:dyDescent="0.3">
      <c r="A558" s="21">
        <v>46111</v>
      </c>
      <c r="B558" s="13" t="s">
        <v>524</v>
      </c>
      <c r="C558" s="13"/>
      <c r="D558" s="14">
        <v>470220.6</v>
      </c>
      <c r="E558" s="13"/>
      <c r="F558" s="13" t="s">
        <v>51</v>
      </c>
    </row>
    <row r="559" spans="1:6" x14ac:dyDescent="0.3">
      <c r="A559" s="21">
        <v>46111</v>
      </c>
      <c r="B559" s="13" t="s">
        <v>525</v>
      </c>
      <c r="C559" s="13"/>
      <c r="D559" s="14">
        <v>182655.55</v>
      </c>
      <c r="E559" s="13"/>
      <c r="F559" s="13" t="s">
        <v>51</v>
      </c>
    </row>
    <row r="560" spans="1:6" x14ac:dyDescent="0.3">
      <c r="A560" s="21">
        <v>46111</v>
      </c>
      <c r="B560" s="13" t="s">
        <v>526</v>
      </c>
      <c r="C560" s="14">
        <v>9000000</v>
      </c>
      <c r="D560" s="13"/>
      <c r="E560" s="13"/>
      <c r="F560" s="13" t="s">
        <v>51</v>
      </c>
    </row>
    <row r="561" spans="1:6" x14ac:dyDescent="0.3">
      <c r="A561" s="21">
        <v>46111</v>
      </c>
      <c r="B561" s="13" t="s">
        <v>66</v>
      </c>
      <c r="C561" s="14">
        <v>19988.439999999999</v>
      </c>
      <c r="D561" s="13"/>
      <c r="E561" s="13"/>
      <c r="F561" s="13" t="s">
        <v>31</v>
      </c>
    </row>
    <row r="562" spans="1:6" x14ac:dyDescent="0.3">
      <c r="A562" s="21">
        <v>46111</v>
      </c>
      <c r="B562" s="13" t="s">
        <v>65</v>
      </c>
      <c r="C562" s="14">
        <v>69083.61</v>
      </c>
      <c r="D562" s="13"/>
      <c r="E562" s="13"/>
      <c r="F562" s="13" t="s">
        <v>29</v>
      </c>
    </row>
    <row r="563" spans="1:6" x14ac:dyDescent="0.3">
      <c r="A563" s="21">
        <v>46111</v>
      </c>
      <c r="B563" s="13" t="s">
        <v>527</v>
      </c>
      <c r="C563" s="14">
        <v>720</v>
      </c>
      <c r="D563" s="13"/>
      <c r="E563" s="13"/>
      <c r="F563" s="13" t="s">
        <v>33</v>
      </c>
    </row>
    <row r="564" spans="1:6" x14ac:dyDescent="0.3">
      <c r="A564" s="21">
        <v>46111</v>
      </c>
      <c r="B564" s="13" t="s">
        <v>528</v>
      </c>
      <c r="C564" s="14">
        <v>151.19999999999999</v>
      </c>
      <c r="D564" s="13"/>
      <c r="E564" s="13"/>
      <c r="F564" s="13" t="s">
        <v>37</v>
      </c>
    </row>
    <row r="565" spans="1:6" x14ac:dyDescent="0.3">
      <c r="A565" s="21">
        <v>46111</v>
      </c>
      <c r="B565" s="13" t="s">
        <v>529</v>
      </c>
      <c r="C565" s="14">
        <v>1485</v>
      </c>
      <c r="D565" s="13"/>
      <c r="E565" s="13"/>
      <c r="F565" s="13" t="s">
        <v>33</v>
      </c>
    </row>
    <row r="566" spans="1:6" x14ac:dyDescent="0.3">
      <c r="A566" s="21">
        <v>46111</v>
      </c>
      <c r="B566" s="13" t="s">
        <v>530</v>
      </c>
      <c r="C566" s="14">
        <v>311.85000000000002</v>
      </c>
      <c r="D566" s="13"/>
      <c r="E566" s="13"/>
      <c r="F566" s="13" t="s">
        <v>37</v>
      </c>
    </row>
    <row r="567" spans="1:6" x14ac:dyDescent="0.3">
      <c r="A567" s="21">
        <v>46111</v>
      </c>
      <c r="B567" s="13" t="s">
        <v>531</v>
      </c>
      <c r="C567" s="14">
        <v>1485</v>
      </c>
      <c r="D567" s="13"/>
      <c r="E567" s="13"/>
      <c r="F567" s="13" t="s">
        <v>33</v>
      </c>
    </row>
    <row r="568" spans="1:6" x14ac:dyDescent="0.3">
      <c r="A568" s="21">
        <v>46111</v>
      </c>
      <c r="B568" s="13" t="s">
        <v>532</v>
      </c>
      <c r="C568" s="14">
        <v>311.85000000000002</v>
      </c>
      <c r="D568" s="13"/>
      <c r="E568" s="13"/>
      <c r="F568" s="13" t="s">
        <v>37</v>
      </c>
    </row>
    <row r="569" spans="1:6" x14ac:dyDescent="0.3">
      <c r="A569" s="21">
        <v>46111</v>
      </c>
      <c r="B569" s="13" t="s">
        <v>533</v>
      </c>
      <c r="C569" s="14">
        <v>1958.8</v>
      </c>
      <c r="D569" s="13"/>
      <c r="E569" s="13"/>
      <c r="F569" s="13" t="s">
        <v>28</v>
      </c>
    </row>
    <row r="570" spans="1:6" x14ac:dyDescent="0.3">
      <c r="A570" s="21">
        <v>46111</v>
      </c>
      <c r="B570" s="13" t="s">
        <v>534</v>
      </c>
      <c r="C570" s="14">
        <v>39976.92</v>
      </c>
      <c r="D570" s="13"/>
      <c r="E570" s="13"/>
      <c r="F570" s="13" t="s">
        <v>26</v>
      </c>
    </row>
    <row r="571" spans="1:6" x14ac:dyDescent="0.3">
      <c r="A571" s="21">
        <v>46112</v>
      </c>
      <c r="B571" s="13" t="s">
        <v>535</v>
      </c>
      <c r="C571" s="13"/>
      <c r="D571" s="14">
        <v>257875.59</v>
      </c>
      <c r="E571" s="13"/>
      <c r="F571" s="13" t="s">
        <v>51</v>
      </c>
    </row>
    <row r="572" spans="1:6" x14ac:dyDescent="0.3">
      <c r="A572" s="21">
        <v>46112</v>
      </c>
      <c r="B572" s="13" t="s">
        <v>536</v>
      </c>
      <c r="C572" s="13"/>
      <c r="D572" s="14">
        <v>89991.03</v>
      </c>
      <c r="E572" s="13"/>
      <c r="F572" s="13" t="s">
        <v>51</v>
      </c>
    </row>
    <row r="573" spans="1:6" x14ac:dyDescent="0.3">
      <c r="A573" s="21">
        <v>46112</v>
      </c>
      <c r="B573" s="13" t="s">
        <v>537</v>
      </c>
      <c r="C573" s="13"/>
      <c r="D573" s="14">
        <v>1000000</v>
      </c>
      <c r="E573" s="13"/>
      <c r="F573" s="13" t="s">
        <v>51</v>
      </c>
    </row>
    <row r="574" spans="1:6" x14ac:dyDescent="0.3">
      <c r="A574" s="21">
        <v>46112</v>
      </c>
      <c r="B574" s="13" t="s">
        <v>538</v>
      </c>
      <c r="C574" s="13"/>
      <c r="D574" s="14">
        <v>1691644.5</v>
      </c>
      <c r="E574" s="13"/>
      <c r="F574" s="13" t="s">
        <v>51</v>
      </c>
    </row>
    <row r="575" spans="1:6" x14ac:dyDescent="0.3">
      <c r="A575" s="21">
        <v>46112</v>
      </c>
      <c r="B575" s="13" t="s">
        <v>539</v>
      </c>
      <c r="C575" s="14">
        <v>72600</v>
      </c>
      <c r="D575" s="13"/>
      <c r="E575" s="13"/>
      <c r="F575" s="13" t="s">
        <v>51</v>
      </c>
    </row>
    <row r="576" spans="1:6" x14ac:dyDescent="0.3">
      <c r="A576" s="21">
        <v>46112</v>
      </c>
      <c r="B576" s="13" t="s">
        <v>540</v>
      </c>
      <c r="C576" s="14">
        <v>324270</v>
      </c>
      <c r="D576" s="13"/>
      <c r="E576" s="13"/>
      <c r="F576" s="13" t="s">
        <v>51</v>
      </c>
    </row>
    <row r="577" spans="1:6" x14ac:dyDescent="0.3">
      <c r="A577" s="21">
        <v>46112</v>
      </c>
      <c r="B577" s="13" t="s">
        <v>541</v>
      </c>
      <c r="C577" s="14">
        <v>27818.639999999999</v>
      </c>
      <c r="D577" s="13"/>
      <c r="E577" s="13"/>
      <c r="F577" s="13" t="s">
        <v>51</v>
      </c>
    </row>
    <row r="578" spans="1:6" x14ac:dyDescent="0.3">
      <c r="A578" s="21">
        <v>46112</v>
      </c>
      <c r="B578" s="13" t="s">
        <v>542</v>
      </c>
      <c r="C578" s="14">
        <v>1395879.99</v>
      </c>
      <c r="D578" s="13"/>
      <c r="E578" s="13"/>
      <c r="F578" s="13" t="s">
        <v>51</v>
      </c>
    </row>
    <row r="579" spans="1:6" x14ac:dyDescent="0.3">
      <c r="A579" s="21">
        <v>46112</v>
      </c>
      <c r="B579" s="13" t="s">
        <v>543</v>
      </c>
      <c r="C579" s="14">
        <v>243090.94</v>
      </c>
      <c r="D579" s="13"/>
      <c r="E579" s="13"/>
      <c r="F579" s="13" t="s">
        <v>51</v>
      </c>
    </row>
    <row r="580" spans="1:6" x14ac:dyDescent="0.3">
      <c r="A580" s="21">
        <v>46112</v>
      </c>
      <c r="B580" s="13" t="s">
        <v>544</v>
      </c>
      <c r="C580" s="14">
        <v>1205540.25</v>
      </c>
      <c r="D580" s="13"/>
      <c r="E580" s="13"/>
      <c r="F580" s="13" t="s">
        <v>51</v>
      </c>
    </row>
    <row r="581" spans="1:6" x14ac:dyDescent="0.3">
      <c r="A581" s="21">
        <v>46112</v>
      </c>
      <c r="B581" s="13" t="s">
        <v>545</v>
      </c>
      <c r="C581" s="14">
        <v>440846.7</v>
      </c>
      <c r="D581" s="13"/>
      <c r="E581" s="13"/>
      <c r="F581" s="13" t="s">
        <v>51</v>
      </c>
    </row>
    <row r="582" spans="1:6" x14ac:dyDescent="0.3">
      <c r="A582" s="21">
        <v>46112</v>
      </c>
      <c r="B582" s="13" t="s">
        <v>546</v>
      </c>
      <c r="C582" s="14">
        <v>433903.21</v>
      </c>
      <c r="D582" s="13"/>
      <c r="E582" s="13"/>
      <c r="F582" s="13" t="s">
        <v>51</v>
      </c>
    </row>
    <row r="583" spans="1:6" x14ac:dyDescent="0.3">
      <c r="A583" s="21">
        <v>46112</v>
      </c>
      <c r="B583" s="13" t="s">
        <v>547</v>
      </c>
      <c r="C583" s="13"/>
      <c r="D583" s="14">
        <v>324739.8</v>
      </c>
      <c r="E583" s="13"/>
      <c r="F583" s="13" t="s">
        <v>51</v>
      </c>
    </row>
    <row r="584" spans="1:6" x14ac:dyDescent="0.3">
      <c r="A584" s="21">
        <v>46112</v>
      </c>
      <c r="B584" s="13" t="s">
        <v>548</v>
      </c>
      <c r="C584" s="13"/>
      <c r="D584" s="14">
        <v>508388.4</v>
      </c>
      <c r="E584" s="13"/>
      <c r="F584" s="13" t="s">
        <v>51</v>
      </c>
    </row>
    <row r="585" spans="1:6" x14ac:dyDescent="0.3">
      <c r="A585" s="21">
        <v>46112</v>
      </c>
      <c r="B585" s="13" t="s">
        <v>549</v>
      </c>
      <c r="C585" s="13"/>
      <c r="D585" s="14">
        <v>568430.80000000005</v>
      </c>
      <c r="E585" s="13"/>
      <c r="F585" s="13" t="s">
        <v>51</v>
      </c>
    </row>
    <row r="586" spans="1:6" x14ac:dyDescent="0.3">
      <c r="A586" s="21">
        <v>46112</v>
      </c>
      <c r="B586" s="13" t="s">
        <v>550</v>
      </c>
      <c r="C586" s="13"/>
      <c r="D586" s="14">
        <v>388985.59999999998</v>
      </c>
      <c r="E586" s="13"/>
      <c r="F586" s="13" t="s">
        <v>51</v>
      </c>
    </row>
    <row r="587" spans="1:6" x14ac:dyDescent="0.3">
      <c r="A587" s="21">
        <v>46112</v>
      </c>
      <c r="B587" s="13" t="s">
        <v>551</v>
      </c>
      <c r="C587" s="13"/>
      <c r="D587" s="14">
        <v>1647720.94</v>
      </c>
      <c r="E587" s="13"/>
      <c r="F587" s="13" t="s">
        <v>51</v>
      </c>
    </row>
    <row r="588" spans="1:6" x14ac:dyDescent="0.3">
      <c r="A588" s="21">
        <v>46112</v>
      </c>
      <c r="B588" s="13" t="s">
        <v>552</v>
      </c>
      <c r="C588" s="13"/>
      <c r="D588" s="14">
        <v>2000000</v>
      </c>
      <c r="E588" s="13"/>
      <c r="F588" s="13" t="s">
        <v>51</v>
      </c>
    </row>
    <row r="589" spans="1:6" x14ac:dyDescent="0.3">
      <c r="A589" s="21">
        <v>46112</v>
      </c>
      <c r="B589" s="13" t="s">
        <v>553</v>
      </c>
      <c r="C589" s="14">
        <v>1175992</v>
      </c>
      <c r="D589" s="13"/>
      <c r="E589" s="13"/>
      <c r="F589" s="13" t="s">
        <v>51</v>
      </c>
    </row>
    <row r="590" spans="1:6" x14ac:dyDescent="0.3">
      <c r="A590" s="21">
        <v>46112</v>
      </c>
      <c r="B590" s="13" t="s">
        <v>554</v>
      </c>
      <c r="C590" s="14">
        <v>1113200</v>
      </c>
      <c r="D590" s="13"/>
      <c r="E590" s="13"/>
      <c r="F590" s="13" t="s">
        <v>51</v>
      </c>
    </row>
    <row r="591" spans="1:6" x14ac:dyDescent="0.3">
      <c r="A591" s="21">
        <v>46112</v>
      </c>
      <c r="B591" s="13" t="s">
        <v>555</v>
      </c>
      <c r="C591" s="14">
        <v>10000000</v>
      </c>
      <c r="D591" s="13"/>
      <c r="E591" s="13"/>
      <c r="F591" s="13" t="s">
        <v>51</v>
      </c>
    </row>
    <row r="592" spans="1:6" x14ac:dyDescent="0.3">
      <c r="A592" s="21">
        <v>46112</v>
      </c>
      <c r="B592" s="13" t="s">
        <v>556</v>
      </c>
      <c r="C592" s="13"/>
      <c r="D592" s="14">
        <v>64999999.990000002</v>
      </c>
      <c r="E592" s="13"/>
      <c r="F592" s="13" t="s">
        <v>51</v>
      </c>
    </row>
    <row r="593" spans="1:6" x14ac:dyDescent="0.3">
      <c r="A593" s="21">
        <v>46112</v>
      </c>
      <c r="B593" s="13" t="s">
        <v>64</v>
      </c>
      <c r="C593" s="13"/>
      <c r="D593" s="14">
        <v>556855.23</v>
      </c>
      <c r="E593" s="13"/>
      <c r="F593" s="13" t="s">
        <v>51</v>
      </c>
    </row>
    <row r="594" spans="1:6" x14ac:dyDescent="0.3">
      <c r="A594" s="21">
        <v>46112</v>
      </c>
      <c r="B594" s="13" t="s">
        <v>557</v>
      </c>
      <c r="C594" s="14">
        <v>1549785</v>
      </c>
      <c r="D594" s="13"/>
      <c r="E594" s="13"/>
      <c r="F594" s="13" t="s">
        <v>51</v>
      </c>
    </row>
    <row r="595" spans="1:6" x14ac:dyDescent="0.3">
      <c r="A595" s="21">
        <v>46112</v>
      </c>
      <c r="B595" s="13" t="s">
        <v>558</v>
      </c>
      <c r="C595" s="14">
        <v>2450000</v>
      </c>
      <c r="D595" s="13"/>
      <c r="E595" s="13"/>
      <c r="F595" s="13" t="s">
        <v>51</v>
      </c>
    </row>
    <row r="596" spans="1:6" x14ac:dyDescent="0.3">
      <c r="A596" s="21">
        <v>46112</v>
      </c>
      <c r="B596" s="13" t="s">
        <v>559</v>
      </c>
      <c r="C596" s="14">
        <v>1500000</v>
      </c>
      <c r="D596" s="13"/>
      <c r="E596" s="13"/>
      <c r="F596" s="13" t="s">
        <v>51</v>
      </c>
    </row>
    <row r="597" spans="1:6" x14ac:dyDescent="0.3">
      <c r="A597" s="21">
        <v>46112</v>
      </c>
      <c r="B597" s="13" t="s">
        <v>560</v>
      </c>
      <c r="C597" s="14">
        <v>1209582</v>
      </c>
      <c r="D597" s="13"/>
      <c r="E597" s="13"/>
      <c r="F597" s="13" t="s">
        <v>51</v>
      </c>
    </row>
    <row r="598" spans="1:6" x14ac:dyDescent="0.3">
      <c r="A598" s="21">
        <v>46112</v>
      </c>
      <c r="B598" s="13" t="s">
        <v>561</v>
      </c>
      <c r="C598" s="14">
        <v>1396670</v>
      </c>
      <c r="D598" s="13"/>
      <c r="E598" s="13"/>
      <c r="F598" s="13" t="s">
        <v>51</v>
      </c>
    </row>
    <row r="599" spans="1:6" x14ac:dyDescent="0.3">
      <c r="A599" s="21">
        <v>46112</v>
      </c>
      <c r="B599" s="13" t="s">
        <v>562</v>
      </c>
      <c r="C599" s="14">
        <v>1138576</v>
      </c>
      <c r="D599" s="13"/>
      <c r="E599" s="13"/>
      <c r="F599" s="13" t="s">
        <v>51</v>
      </c>
    </row>
    <row r="600" spans="1:6" x14ac:dyDescent="0.3">
      <c r="A600" s="21">
        <v>46112</v>
      </c>
      <c r="B600" s="13" t="s">
        <v>563</v>
      </c>
      <c r="C600" s="14">
        <v>2502157</v>
      </c>
      <c r="D600" s="13"/>
      <c r="E600" s="13"/>
      <c r="F600" s="13" t="s">
        <v>51</v>
      </c>
    </row>
    <row r="601" spans="1:6" x14ac:dyDescent="0.3">
      <c r="A601" s="21">
        <v>46112</v>
      </c>
      <c r="B601" s="13" t="s">
        <v>564</v>
      </c>
      <c r="C601" s="14">
        <v>1409610</v>
      </c>
      <c r="D601" s="13"/>
      <c r="E601" s="13"/>
      <c r="F601" s="13" t="s">
        <v>51</v>
      </c>
    </row>
    <row r="602" spans="1:6" x14ac:dyDescent="0.3">
      <c r="A602" s="21">
        <v>46112</v>
      </c>
      <c r="B602" s="13" t="s">
        <v>565</v>
      </c>
      <c r="C602" s="14">
        <v>932782</v>
      </c>
      <c r="D602" s="13"/>
      <c r="E602" s="13"/>
      <c r="F602" s="13" t="s">
        <v>51</v>
      </c>
    </row>
    <row r="603" spans="1:6" x14ac:dyDescent="0.3">
      <c r="A603" s="21">
        <v>46112</v>
      </c>
      <c r="B603" s="13" t="s">
        <v>566</v>
      </c>
      <c r="C603" s="14">
        <v>2500000</v>
      </c>
      <c r="D603" s="13"/>
      <c r="E603" s="13"/>
      <c r="F603" s="13" t="s">
        <v>51</v>
      </c>
    </row>
    <row r="604" spans="1:6" x14ac:dyDescent="0.3">
      <c r="A604" s="21">
        <v>46112</v>
      </c>
      <c r="B604" s="13" t="s">
        <v>567</v>
      </c>
      <c r="C604" s="14">
        <v>1559691</v>
      </c>
      <c r="D604" s="13"/>
      <c r="E604" s="13"/>
      <c r="F604" s="13" t="s">
        <v>51</v>
      </c>
    </row>
    <row r="605" spans="1:6" x14ac:dyDescent="0.3">
      <c r="A605" s="21">
        <v>46112</v>
      </c>
      <c r="B605" s="13" t="s">
        <v>568</v>
      </c>
      <c r="C605" s="14">
        <v>1558338</v>
      </c>
      <c r="D605" s="13"/>
      <c r="E605" s="13"/>
      <c r="F605" s="13" t="s">
        <v>51</v>
      </c>
    </row>
    <row r="606" spans="1:6" x14ac:dyDescent="0.3">
      <c r="A606" s="21">
        <v>46112</v>
      </c>
      <c r="B606" s="13" t="s">
        <v>569</v>
      </c>
      <c r="C606" s="14">
        <v>1358204</v>
      </c>
      <c r="D606" s="13"/>
      <c r="E606" s="13"/>
      <c r="F606" s="13" t="s">
        <v>51</v>
      </c>
    </row>
    <row r="607" spans="1:6" x14ac:dyDescent="0.3">
      <c r="A607" s="21">
        <v>46112</v>
      </c>
      <c r="B607" s="13" t="s">
        <v>570</v>
      </c>
      <c r="C607" s="14">
        <v>1550633</v>
      </c>
      <c r="D607" s="13"/>
      <c r="E607" s="13"/>
      <c r="F607" s="13" t="s">
        <v>51</v>
      </c>
    </row>
    <row r="608" spans="1:6" x14ac:dyDescent="0.3">
      <c r="A608" s="21">
        <v>46112</v>
      </c>
      <c r="B608" s="13" t="s">
        <v>571</v>
      </c>
      <c r="C608" s="14">
        <v>2114000</v>
      </c>
      <c r="D608" s="13"/>
      <c r="E608" s="13"/>
      <c r="F608" s="13" t="s">
        <v>51</v>
      </c>
    </row>
    <row r="609" spans="1:6" x14ac:dyDescent="0.3">
      <c r="A609" s="21">
        <v>46112</v>
      </c>
      <c r="B609" s="13" t="s">
        <v>572</v>
      </c>
      <c r="C609" s="14">
        <v>1500000</v>
      </c>
      <c r="D609" s="13"/>
      <c r="E609" s="13"/>
      <c r="F609" s="13" t="s">
        <v>51</v>
      </c>
    </row>
    <row r="610" spans="1:6" x14ac:dyDescent="0.3">
      <c r="A610" s="21">
        <v>46112</v>
      </c>
      <c r="B610" s="13" t="s">
        <v>573</v>
      </c>
      <c r="C610" s="14">
        <v>1422877</v>
      </c>
      <c r="D610" s="13"/>
      <c r="E610" s="13"/>
      <c r="F610" s="13" t="s">
        <v>51</v>
      </c>
    </row>
    <row r="611" spans="1:6" x14ac:dyDescent="0.3">
      <c r="A611" s="21">
        <v>46112</v>
      </c>
      <c r="B611" s="13" t="s">
        <v>574</v>
      </c>
      <c r="C611" s="14">
        <v>2035977</v>
      </c>
      <c r="D611" s="13"/>
      <c r="E611" s="13"/>
      <c r="F611" s="13" t="s">
        <v>51</v>
      </c>
    </row>
    <row r="612" spans="1:6" x14ac:dyDescent="0.3">
      <c r="A612" s="21">
        <v>46112</v>
      </c>
      <c r="B612" s="13" t="s">
        <v>575</v>
      </c>
      <c r="C612" s="14">
        <v>1412040</v>
      </c>
      <c r="D612" s="13"/>
      <c r="E612" s="13"/>
      <c r="F612" s="13" t="s">
        <v>51</v>
      </c>
    </row>
    <row r="613" spans="1:6" x14ac:dyDescent="0.3">
      <c r="A613" s="21">
        <v>46112</v>
      </c>
      <c r="B613" s="13" t="s">
        <v>576</v>
      </c>
      <c r="C613" s="14">
        <v>1711438</v>
      </c>
      <c r="D613" s="13"/>
      <c r="E613" s="13"/>
      <c r="F613" s="13" t="s">
        <v>51</v>
      </c>
    </row>
    <row r="614" spans="1:6" x14ac:dyDescent="0.3">
      <c r="A614" s="21">
        <v>46112</v>
      </c>
      <c r="B614" s="13" t="s">
        <v>577</v>
      </c>
      <c r="C614" s="14">
        <v>2500000</v>
      </c>
      <c r="D614" s="13"/>
      <c r="E614" s="13"/>
      <c r="F614" s="13" t="s">
        <v>51</v>
      </c>
    </row>
    <row r="615" spans="1:6" x14ac:dyDescent="0.3">
      <c r="A615" s="21">
        <v>46112</v>
      </c>
      <c r="B615" s="13" t="s">
        <v>578</v>
      </c>
      <c r="C615" s="14">
        <v>1373064</v>
      </c>
      <c r="D615" s="13"/>
      <c r="E615" s="13"/>
      <c r="F615" s="13" t="s">
        <v>51</v>
      </c>
    </row>
    <row r="616" spans="1:6" x14ac:dyDescent="0.3">
      <c r="A616" s="21">
        <v>46112</v>
      </c>
      <c r="B616" s="13" t="s">
        <v>579</v>
      </c>
      <c r="C616" s="14">
        <v>1489589</v>
      </c>
      <c r="D616" s="13"/>
      <c r="E616" s="13"/>
      <c r="F616" s="13" t="s">
        <v>51</v>
      </c>
    </row>
    <row r="617" spans="1:6" x14ac:dyDescent="0.3">
      <c r="A617" s="21">
        <v>46112</v>
      </c>
      <c r="B617" s="13" t="s">
        <v>580</v>
      </c>
      <c r="C617" s="14">
        <v>1518181</v>
      </c>
      <c r="D617" s="13"/>
      <c r="E617" s="13"/>
      <c r="F617" s="13" t="s">
        <v>51</v>
      </c>
    </row>
    <row r="618" spans="1:6" x14ac:dyDescent="0.3">
      <c r="A618" s="21">
        <v>46112</v>
      </c>
      <c r="B618" s="13" t="s">
        <v>581</v>
      </c>
      <c r="C618" s="14">
        <v>2000000</v>
      </c>
      <c r="D618" s="13"/>
      <c r="E618" s="13"/>
      <c r="F618" s="13" t="s">
        <v>51</v>
      </c>
    </row>
    <row r="619" spans="1:6" x14ac:dyDescent="0.3">
      <c r="A619" s="21">
        <v>46112</v>
      </c>
      <c r="B619" s="13" t="s">
        <v>582</v>
      </c>
      <c r="C619" s="14">
        <v>291284</v>
      </c>
      <c r="D619" s="13"/>
      <c r="E619" s="13"/>
      <c r="F619" s="13" t="s">
        <v>51</v>
      </c>
    </row>
    <row r="620" spans="1:6" x14ac:dyDescent="0.3">
      <c r="A620" s="21">
        <v>46112</v>
      </c>
      <c r="B620" s="13" t="s">
        <v>583</v>
      </c>
      <c r="C620" s="14">
        <v>1500000</v>
      </c>
      <c r="D620" s="13"/>
      <c r="E620" s="13"/>
      <c r="F620" s="13" t="s">
        <v>51</v>
      </c>
    </row>
    <row r="621" spans="1:6" x14ac:dyDescent="0.3">
      <c r="A621" s="21">
        <v>46112</v>
      </c>
      <c r="B621" s="13" t="s">
        <v>584</v>
      </c>
      <c r="C621" s="14">
        <v>1028643</v>
      </c>
      <c r="D621" s="13"/>
      <c r="E621" s="13"/>
      <c r="F621" s="13" t="s">
        <v>51</v>
      </c>
    </row>
    <row r="622" spans="1:6" x14ac:dyDescent="0.3">
      <c r="A622" s="21">
        <v>46112</v>
      </c>
      <c r="B622" s="13" t="s">
        <v>585</v>
      </c>
      <c r="C622" s="14">
        <v>1167855</v>
      </c>
      <c r="D622" s="13"/>
      <c r="E622" s="13"/>
      <c r="F622" s="13" t="s">
        <v>51</v>
      </c>
    </row>
    <row r="623" spans="1:6" x14ac:dyDescent="0.3">
      <c r="A623" s="21">
        <v>46112</v>
      </c>
      <c r="B623" s="13" t="s">
        <v>586</v>
      </c>
      <c r="C623" s="14">
        <v>1219443</v>
      </c>
      <c r="D623" s="13"/>
      <c r="E623" s="13"/>
      <c r="F623" s="13" t="s">
        <v>51</v>
      </c>
    </row>
    <row r="624" spans="1:6" x14ac:dyDescent="0.3">
      <c r="A624" s="21">
        <v>46112</v>
      </c>
      <c r="B624" s="13" t="s">
        <v>587</v>
      </c>
      <c r="C624" s="14">
        <v>1422877</v>
      </c>
      <c r="D624" s="13"/>
      <c r="E624" s="13"/>
      <c r="F624" s="13" t="s">
        <v>51</v>
      </c>
    </row>
    <row r="625" spans="1:6" x14ac:dyDescent="0.3">
      <c r="A625" s="21">
        <v>46112</v>
      </c>
      <c r="B625" s="13" t="s">
        <v>588</v>
      </c>
      <c r="C625" s="14">
        <v>1432964</v>
      </c>
      <c r="D625" s="13"/>
      <c r="E625" s="13"/>
      <c r="F625" s="13" t="s">
        <v>51</v>
      </c>
    </row>
    <row r="626" spans="1:6" x14ac:dyDescent="0.3">
      <c r="A626" s="21">
        <v>46112</v>
      </c>
      <c r="B626" s="13" t="s">
        <v>589</v>
      </c>
      <c r="C626" s="14">
        <v>1432336</v>
      </c>
      <c r="D626" s="13"/>
      <c r="E626" s="13"/>
      <c r="F626" s="13" t="s">
        <v>51</v>
      </c>
    </row>
    <row r="627" spans="1:6" x14ac:dyDescent="0.3">
      <c r="A627" s="21">
        <v>46112</v>
      </c>
      <c r="B627" s="13" t="s">
        <v>590</v>
      </c>
      <c r="C627" s="14">
        <v>2000000</v>
      </c>
      <c r="D627" s="13"/>
      <c r="E627" s="13"/>
      <c r="F627" s="13" t="s">
        <v>131</v>
      </c>
    </row>
    <row r="628" spans="1:6" x14ac:dyDescent="0.3">
      <c r="A628" s="21">
        <v>46112</v>
      </c>
      <c r="B628" s="13" t="s">
        <v>591</v>
      </c>
      <c r="C628" s="14">
        <v>2460000</v>
      </c>
      <c r="D628" s="13"/>
      <c r="E628" s="13"/>
      <c r="F628" s="13" t="s">
        <v>131</v>
      </c>
    </row>
    <row r="629" spans="1:6" x14ac:dyDescent="0.3">
      <c r="A629" s="21">
        <v>46112</v>
      </c>
      <c r="B629" s="13" t="s">
        <v>592</v>
      </c>
      <c r="C629" s="14">
        <v>1000000</v>
      </c>
      <c r="D629" s="13"/>
      <c r="E629" s="13"/>
      <c r="F629" s="13" t="s">
        <v>131</v>
      </c>
    </row>
    <row r="630" spans="1:6" x14ac:dyDescent="0.3">
      <c r="A630" s="21">
        <v>46112</v>
      </c>
      <c r="B630" s="13" t="s">
        <v>66</v>
      </c>
      <c r="C630" s="14">
        <v>36207.79</v>
      </c>
      <c r="D630" s="13"/>
      <c r="E630" s="13"/>
      <c r="F630" s="13" t="s">
        <v>31</v>
      </c>
    </row>
    <row r="631" spans="1:6" x14ac:dyDescent="0.3">
      <c r="A631" s="21">
        <v>46112</v>
      </c>
      <c r="B631" s="13" t="s">
        <v>65</v>
      </c>
      <c r="C631" s="14">
        <v>378768.82</v>
      </c>
      <c r="D631" s="13"/>
      <c r="E631" s="13"/>
      <c r="F631" s="13" t="s">
        <v>29</v>
      </c>
    </row>
    <row r="632" spans="1:6" x14ac:dyDescent="0.3">
      <c r="A632" s="22"/>
      <c r="B632" s="23" t="s">
        <v>593</v>
      </c>
      <c r="C632" s="19">
        <v>460163247.59000027</v>
      </c>
      <c r="D632" s="19">
        <v>457232916.92000008</v>
      </c>
      <c r="E632" s="22"/>
      <c r="F632" s="22"/>
    </row>
    <row r="634" spans="1:6" x14ac:dyDescent="0.3">
      <c r="D634" s="45">
        <f>+D3+D632-C632</f>
        <v>2692160.819999814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9"/>
  <sheetViews>
    <sheetView workbookViewId="0"/>
  </sheetViews>
  <sheetFormatPr baseColWidth="10" defaultColWidth="8.88671875" defaultRowHeight="14.4" x14ac:dyDescent="0.3"/>
  <cols>
    <col min="1" max="1" width="14" customWidth="1"/>
    <col min="2" max="2" width="28" customWidth="1"/>
    <col min="3" max="4" width="32" customWidth="1"/>
    <col min="5" max="6" width="16" customWidth="1"/>
  </cols>
  <sheetData>
    <row r="1" spans="1:6" ht="17.399999999999999" x14ac:dyDescent="0.3">
      <c r="A1" s="42" t="s">
        <v>594</v>
      </c>
      <c r="B1" s="38"/>
      <c r="C1" s="38"/>
      <c r="D1" s="38"/>
      <c r="E1" s="38"/>
      <c r="F1" s="38"/>
    </row>
    <row r="3" spans="1:6" x14ac:dyDescent="0.3">
      <c r="A3" s="20" t="s">
        <v>42</v>
      </c>
      <c r="B3" s="20" t="s">
        <v>595</v>
      </c>
      <c r="C3" s="20" t="s">
        <v>43</v>
      </c>
      <c r="D3" s="20" t="s">
        <v>596</v>
      </c>
      <c r="E3" s="20" t="s">
        <v>597</v>
      </c>
      <c r="F3" s="20" t="s">
        <v>598</v>
      </c>
    </row>
    <row r="4" spans="1:6" x14ac:dyDescent="0.3">
      <c r="A4" s="21">
        <v>46083</v>
      </c>
      <c r="B4" s="13" t="s">
        <v>599</v>
      </c>
      <c r="C4" s="13" t="s">
        <v>600</v>
      </c>
      <c r="D4" s="13" t="s">
        <v>601</v>
      </c>
      <c r="E4" s="14">
        <v>3934033.17</v>
      </c>
      <c r="F4" s="13"/>
    </row>
    <row r="5" spans="1:6" x14ac:dyDescent="0.3">
      <c r="A5" s="21">
        <v>46083</v>
      </c>
      <c r="B5" s="13" t="s">
        <v>599</v>
      </c>
      <c r="C5" s="13" t="s">
        <v>600</v>
      </c>
      <c r="D5" s="13" t="s">
        <v>602</v>
      </c>
      <c r="E5" s="14">
        <v>697104.87</v>
      </c>
      <c r="F5" s="13"/>
    </row>
    <row r="6" spans="1:6" x14ac:dyDescent="0.3">
      <c r="A6" s="21">
        <v>46083</v>
      </c>
      <c r="B6" s="13" t="s">
        <v>599</v>
      </c>
      <c r="C6" s="13" t="s">
        <v>600</v>
      </c>
      <c r="D6" s="13" t="s">
        <v>603</v>
      </c>
      <c r="E6" s="14">
        <v>364258.4</v>
      </c>
      <c r="F6" s="13"/>
    </row>
    <row r="7" spans="1:6" x14ac:dyDescent="0.3">
      <c r="A7" s="21">
        <v>46083</v>
      </c>
      <c r="B7" s="13" t="s">
        <v>599</v>
      </c>
      <c r="C7" s="13" t="s">
        <v>600</v>
      </c>
      <c r="D7" s="13" t="s">
        <v>604</v>
      </c>
      <c r="E7" s="14">
        <v>1697201.52</v>
      </c>
      <c r="F7" s="13"/>
    </row>
    <row r="8" spans="1:6" x14ac:dyDescent="0.3">
      <c r="A8" s="21">
        <v>46083</v>
      </c>
      <c r="B8" s="13" t="s">
        <v>599</v>
      </c>
      <c r="C8" s="13" t="s">
        <v>600</v>
      </c>
      <c r="D8" s="13" t="s">
        <v>605</v>
      </c>
      <c r="E8" s="14">
        <v>798935.85</v>
      </c>
      <c r="F8" s="13"/>
    </row>
    <row r="9" spans="1:6" x14ac:dyDescent="0.3">
      <c r="A9" s="21">
        <v>46083</v>
      </c>
      <c r="B9" s="13" t="s">
        <v>599</v>
      </c>
      <c r="C9" s="13" t="s">
        <v>600</v>
      </c>
      <c r="D9" s="13" t="s">
        <v>606</v>
      </c>
      <c r="E9" s="14">
        <v>2637600.65</v>
      </c>
      <c r="F9" s="13"/>
    </row>
    <row r="10" spans="1:6" x14ac:dyDescent="0.3">
      <c r="A10" s="21">
        <v>46083</v>
      </c>
      <c r="B10" s="13" t="s">
        <v>607</v>
      </c>
      <c r="C10" s="13" t="s">
        <v>600</v>
      </c>
      <c r="D10" s="13" t="s">
        <v>608</v>
      </c>
      <c r="E10" s="14">
        <v>1065256</v>
      </c>
      <c r="F10" s="13"/>
    </row>
    <row r="11" spans="1:6" x14ac:dyDescent="0.3">
      <c r="A11" s="21">
        <v>46083</v>
      </c>
      <c r="B11" s="13" t="s">
        <v>609</v>
      </c>
      <c r="C11" s="13" t="s">
        <v>600</v>
      </c>
      <c r="D11" s="13" t="s">
        <v>610</v>
      </c>
      <c r="E11" s="14">
        <v>140722</v>
      </c>
      <c r="F11" s="13"/>
    </row>
    <row r="12" spans="1:6" x14ac:dyDescent="0.3">
      <c r="A12" s="21">
        <v>46083</v>
      </c>
      <c r="B12" s="13" t="s">
        <v>611</v>
      </c>
      <c r="C12" s="13" t="s">
        <v>600</v>
      </c>
      <c r="D12" s="13"/>
      <c r="E12" s="13"/>
      <c r="F12" s="14">
        <v>762181.55</v>
      </c>
    </row>
    <row r="13" spans="1:6" x14ac:dyDescent="0.3">
      <c r="A13" s="21">
        <v>46083</v>
      </c>
      <c r="B13" s="13" t="s">
        <v>612</v>
      </c>
      <c r="C13" s="13" t="s">
        <v>600</v>
      </c>
      <c r="D13" s="13"/>
      <c r="E13" s="14">
        <v>3500000</v>
      </c>
      <c r="F13" s="13"/>
    </row>
    <row r="14" spans="1:6" x14ac:dyDescent="0.3">
      <c r="A14" s="21">
        <v>46083</v>
      </c>
      <c r="B14" s="13" t="s">
        <v>613</v>
      </c>
      <c r="C14" s="13" t="s">
        <v>600</v>
      </c>
      <c r="D14" s="13"/>
      <c r="E14" s="14">
        <v>1500000</v>
      </c>
      <c r="F14" s="13"/>
    </row>
    <row r="15" spans="1:6" x14ac:dyDescent="0.3">
      <c r="A15" s="21">
        <v>46083</v>
      </c>
      <c r="B15" s="13" t="s">
        <v>614</v>
      </c>
      <c r="C15" s="13" t="s">
        <v>600</v>
      </c>
      <c r="D15" s="13"/>
      <c r="E15" s="13"/>
      <c r="F15" s="14">
        <v>10000000</v>
      </c>
    </row>
    <row r="16" spans="1:6" x14ac:dyDescent="0.3">
      <c r="A16" s="21">
        <v>46083</v>
      </c>
      <c r="B16" s="13" t="s">
        <v>615</v>
      </c>
      <c r="C16" s="13" t="s">
        <v>600</v>
      </c>
      <c r="D16" s="13" t="s">
        <v>616</v>
      </c>
      <c r="E16" s="14">
        <v>155788.20000000001</v>
      </c>
      <c r="F16" s="13"/>
    </row>
    <row r="17" spans="1:6" x14ac:dyDescent="0.3">
      <c r="A17" s="21">
        <v>46083</v>
      </c>
      <c r="B17" s="13" t="s">
        <v>617</v>
      </c>
      <c r="C17" s="13" t="s">
        <v>600</v>
      </c>
      <c r="D17" s="13"/>
      <c r="E17" s="13"/>
      <c r="F17" s="14">
        <v>815844.94</v>
      </c>
    </row>
    <row r="18" spans="1:6" x14ac:dyDescent="0.3">
      <c r="A18" s="21">
        <v>46083</v>
      </c>
      <c r="B18" s="13" t="s">
        <v>618</v>
      </c>
      <c r="C18" s="13" t="s">
        <v>600</v>
      </c>
      <c r="D18" s="13"/>
      <c r="E18" s="14">
        <v>17956.09</v>
      </c>
      <c r="F18" s="13"/>
    </row>
    <row r="19" spans="1:6" x14ac:dyDescent="0.3">
      <c r="A19" s="21">
        <v>46083</v>
      </c>
      <c r="B19" s="13" t="s">
        <v>618</v>
      </c>
      <c r="C19" s="13" t="s">
        <v>600</v>
      </c>
      <c r="D19" s="13"/>
      <c r="E19" s="14">
        <v>220378.89</v>
      </c>
      <c r="F19" s="13"/>
    </row>
    <row r="20" spans="1:6" x14ac:dyDescent="0.3">
      <c r="A20" s="21">
        <v>46083</v>
      </c>
      <c r="B20" s="13" t="s">
        <v>619</v>
      </c>
      <c r="C20" s="13" t="s">
        <v>600</v>
      </c>
      <c r="D20" s="13"/>
      <c r="E20" s="14">
        <v>1500000</v>
      </c>
      <c r="F20" s="13"/>
    </row>
    <row r="21" spans="1:6" x14ac:dyDescent="0.3">
      <c r="A21" s="21">
        <v>46084</v>
      </c>
      <c r="B21" s="13" t="s">
        <v>620</v>
      </c>
      <c r="C21" s="13" t="s">
        <v>600</v>
      </c>
      <c r="D21" s="13" t="s">
        <v>621</v>
      </c>
      <c r="E21" s="14">
        <v>5078567.09</v>
      </c>
      <c r="F21" s="13"/>
    </row>
    <row r="22" spans="1:6" x14ac:dyDescent="0.3">
      <c r="A22" s="21">
        <v>46084</v>
      </c>
      <c r="B22" s="13" t="s">
        <v>622</v>
      </c>
      <c r="C22" s="13" t="s">
        <v>600</v>
      </c>
      <c r="D22" s="13"/>
      <c r="E22" s="13"/>
      <c r="F22" s="14">
        <v>920576.26</v>
      </c>
    </row>
    <row r="23" spans="1:6" x14ac:dyDescent="0.3">
      <c r="A23" s="21">
        <v>46084</v>
      </c>
      <c r="B23" s="13" t="s">
        <v>623</v>
      </c>
      <c r="C23" s="13" t="s">
        <v>600</v>
      </c>
      <c r="D23" s="13"/>
      <c r="E23" s="13"/>
      <c r="F23" s="14">
        <v>175593.51</v>
      </c>
    </row>
    <row r="24" spans="1:6" x14ac:dyDescent="0.3">
      <c r="A24" s="21">
        <v>46084</v>
      </c>
      <c r="B24" s="13" t="s">
        <v>624</v>
      </c>
      <c r="C24" s="13" t="s">
        <v>600</v>
      </c>
      <c r="D24" s="13"/>
      <c r="E24" s="13"/>
      <c r="F24" s="14">
        <v>109631.34</v>
      </c>
    </row>
    <row r="25" spans="1:6" x14ac:dyDescent="0.3">
      <c r="A25" s="21">
        <v>46084</v>
      </c>
      <c r="B25" s="13" t="s">
        <v>625</v>
      </c>
      <c r="C25" s="13" t="s">
        <v>600</v>
      </c>
      <c r="D25" s="13"/>
      <c r="E25" s="13"/>
      <c r="F25" s="14">
        <v>72894.69</v>
      </c>
    </row>
    <row r="26" spans="1:6" x14ac:dyDescent="0.3">
      <c r="A26" s="21">
        <v>46084</v>
      </c>
      <c r="B26" s="13" t="s">
        <v>626</v>
      </c>
      <c r="C26" s="13" t="s">
        <v>600</v>
      </c>
      <c r="D26" s="13"/>
      <c r="E26" s="13"/>
      <c r="F26" s="14">
        <v>353925</v>
      </c>
    </row>
    <row r="27" spans="1:6" x14ac:dyDescent="0.3">
      <c r="A27" s="21">
        <v>46084</v>
      </c>
      <c r="B27" s="13" t="s">
        <v>627</v>
      </c>
      <c r="C27" s="13" t="s">
        <v>600</v>
      </c>
      <c r="D27" s="13"/>
      <c r="E27" s="13"/>
      <c r="F27" s="14">
        <v>7643370</v>
      </c>
    </row>
    <row r="28" spans="1:6" x14ac:dyDescent="0.3">
      <c r="A28" s="21">
        <v>46084</v>
      </c>
      <c r="B28" s="13" t="s">
        <v>628</v>
      </c>
      <c r="C28" s="13" t="s">
        <v>600</v>
      </c>
      <c r="D28" s="13" t="s">
        <v>629</v>
      </c>
      <c r="E28" s="14">
        <v>66691.62</v>
      </c>
      <c r="F28" s="13"/>
    </row>
    <row r="29" spans="1:6" x14ac:dyDescent="0.3">
      <c r="A29" s="21">
        <v>46084</v>
      </c>
      <c r="B29" s="13" t="s">
        <v>630</v>
      </c>
      <c r="C29" s="13" t="s">
        <v>600</v>
      </c>
      <c r="D29" s="13" t="s">
        <v>631</v>
      </c>
      <c r="E29" s="14">
        <v>376285.8</v>
      </c>
      <c r="F29" s="13"/>
    </row>
    <row r="30" spans="1:6" x14ac:dyDescent="0.3">
      <c r="A30" s="21">
        <v>46084</v>
      </c>
      <c r="B30" s="13" t="s">
        <v>632</v>
      </c>
      <c r="C30" s="13" t="s">
        <v>600</v>
      </c>
      <c r="D30" s="13" t="s">
        <v>633</v>
      </c>
      <c r="E30" s="14">
        <v>111289.75</v>
      </c>
      <c r="F30" s="13"/>
    </row>
    <row r="31" spans="1:6" x14ac:dyDescent="0.3">
      <c r="A31" s="21">
        <v>46084</v>
      </c>
      <c r="B31" s="13" t="s">
        <v>634</v>
      </c>
      <c r="C31" s="13" t="s">
        <v>600</v>
      </c>
      <c r="D31" s="13" t="s">
        <v>635</v>
      </c>
      <c r="E31" s="14">
        <v>698727.85</v>
      </c>
      <c r="F31" s="13"/>
    </row>
    <row r="32" spans="1:6" x14ac:dyDescent="0.3">
      <c r="A32" s="21">
        <v>46084</v>
      </c>
      <c r="B32" s="13" t="s">
        <v>636</v>
      </c>
      <c r="C32" s="13" t="s">
        <v>600</v>
      </c>
      <c r="D32" s="13" t="s">
        <v>637</v>
      </c>
      <c r="E32" s="14">
        <v>41895</v>
      </c>
      <c r="F32" s="13"/>
    </row>
    <row r="33" spans="1:6" x14ac:dyDescent="0.3">
      <c r="A33" s="21">
        <v>46084</v>
      </c>
      <c r="B33" s="13" t="s">
        <v>638</v>
      </c>
      <c r="C33" s="13" t="s">
        <v>600</v>
      </c>
      <c r="D33" s="13"/>
      <c r="E33" s="13"/>
      <c r="F33" s="14">
        <v>710000</v>
      </c>
    </row>
    <row r="34" spans="1:6" x14ac:dyDescent="0.3">
      <c r="A34" s="21">
        <v>46084</v>
      </c>
      <c r="B34" s="13" t="s">
        <v>639</v>
      </c>
      <c r="C34" s="13" t="s">
        <v>600</v>
      </c>
      <c r="D34" s="13"/>
      <c r="E34" s="13"/>
      <c r="F34" s="14">
        <v>440846.7</v>
      </c>
    </row>
    <row r="35" spans="1:6" x14ac:dyDescent="0.3">
      <c r="A35" s="21">
        <v>46084</v>
      </c>
      <c r="B35" s="13" t="s">
        <v>640</v>
      </c>
      <c r="C35" s="13" t="s">
        <v>600</v>
      </c>
      <c r="D35" s="13"/>
      <c r="E35" s="13"/>
      <c r="F35" s="14">
        <v>500000</v>
      </c>
    </row>
    <row r="36" spans="1:6" x14ac:dyDescent="0.3">
      <c r="A36" s="21">
        <v>46084</v>
      </c>
      <c r="B36" s="13" t="s">
        <v>641</v>
      </c>
      <c r="C36" s="13" t="s">
        <v>600</v>
      </c>
      <c r="D36" s="13" t="s">
        <v>642</v>
      </c>
      <c r="E36" s="14">
        <v>1676255.37</v>
      </c>
      <c r="F36" s="13"/>
    </row>
    <row r="37" spans="1:6" x14ac:dyDescent="0.3">
      <c r="A37" s="21">
        <v>46084</v>
      </c>
      <c r="B37" s="13" t="s">
        <v>643</v>
      </c>
      <c r="C37" s="13" t="s">
        <v>600</v>
      </c>
      <c r="D37" s="13" t="s">
        <v>644</v>
      </c>
      <c r="E37" s="14">
        <v>792947.4</v>
      </c>
      <c r="F37" s="13"/>
    </row>
    <row r="38" spans="1:6" x14ac:dyDescent="0.3">
      <c r="A38" s="21">
        <v>46084</v>
      </c>
      <c r="B38" s="13" t="s">
        <v>645</v>
      </c>
      <c r="C38" s="13" t="s">
        <v>600</v>
      </c>
      <c r="D38" s="13"/>
      <c r="E38" s="14">
        <v>41771.35</v>
      </c>
      <c r="F38" s="13"/>
    </row>
    <row r="39" spans="1:6" x14ac:dyDescent="0.3">
      <c r="A39" s="21">
        <v>46084</v>
      </c>
      <c r="B39" s="13" t="s">
        <v>645</v>
      </c>
      <c r="C39" s="13" t="s">
        <v>600</v>
      </c>
      <c r="D39" s="13"/>
      <c r="E39" s="14">
        <v>177280.27</v>
      </c>
      <c r="F39" s="13"/>
    </row>
    <row r="40" spans="1:6" x14ac:dyDescent="0.3">
      <c r="A40" s="21">
        <v>46085</v>
      </c>
      <c r="B40" s="13" t="s">
        <v>646</v>
      </c>
      <c r="C40" s="13" t="s">
        <v>600</v>
      </c>
      <c r="D40" s="13" t="s">
        <v>647</v>
      </c>
      <c r="E40" s="14">
        <v>21971.77</v>
      </c>
      <c r="F40" s="13"/>
    </row>
    <row r="41" spans="1:6" x14ac:dyDescent="0.3">
      <c r="A41" s="21">
        <v>46085</v>
      </c>
      <c r="B41" s="13" t="s">
        <v>648</v>
      </c>
      <c r="C41" s="13" t="s">
        <v>600</v>
      </c>
      <c r="D41" s="13" t="s">
        <v>649</v>
      </c>
      <c r="E41" s="14">
        <v>43392</v>
      </c>
      <c r="F41" s="13"/>
    </row>
    <row r="42" spans="1:6" x14ac:dyDescent="0.3">
      <c r="A42" s="21">
        <v>46085</v>
      </c>
      <c r="B42" s="13" t="s">
        <v>650</v>
      </c>
      <c r="C42" s="13" t="s">
        <v>600</v>
      </c>
      <c r="D42" s="13"/>
      <c r="E42" s="14">
        <v>149075.54999999999</v>
      </c>
      <c r="F42" s="13"/>
    </row>
    <row r="43" spans="1:6" x14ac:dyDescent="0.3">
      <c r="A43" s="21">
        <v>46085</v>
      </c>
      <c r="B43" s="13" t="s">
        <v>650</v>
      </c>
      <c r="C43" s="13" t="s">
        <v>600</v>
      </c>
      <c r="D43" s="13"/>
      <c r="E43" s="14">
        <v>93757.34</v>
      </c>
      <c r="F43" s="13"/>
    </row>
    <row r="44" spans="1:6" x14ac:dyDescent="0.3">
      <c r="A44" s="21">
        <v>46086</v>
      </c>
      <c r="B44" s="13" t="s">
        <v>651</v>
      </c>
      <c r="C44" s="13" t="s">
        <v>600</v>
      </c>
      <c r="D44" s="13"/>
      <c r="E44" s="13"/>
      <c r="F44" s="14">
        <v>116107.55</v>
      </c>
    </row>
    <row r="45" spans="1:6" x14ac:dyDescent="0.3">
      <c r="A45" s="21">
        <v>46086</v>
      </c>
      <c r="B45" s="13" t="s">
        <v>652</v>
      </c>
      <c r="C45" s="13" t="s">
        <v>600</v>
      </c>
      <c r="D45" s="13"/>
      <c r="E45" s="13"/>
      <c r="F45" s="14">
        <v>138293.60999999999</v>
      </c>
    </row>
    <row r="46" spans="1:6" x14ac:dyDescent="0.3">
      <c r="A46" s="21">
        <v>46086</v>
      </c>
      <c r="B46" s="13" t="s">
        <v>653</v>
      </c>
      <c r="C46" s="13" t="s">
        <v>600</v>
      </c>
      <c r="D46" s="13"/>
      <c r="E46" s="13"/>
      <c r="F46" s="14">
        <v>800000</v>
      </c>
    </row>
    <row r="47" spans="1:6" x14ac:dyDescent="0.3">
      <c r="A47" s="21">
        <v>46086</v>
      </c>
      <c r="B47" s="13" t="s">
        <v>654</v>
      </c>
      <c r="C47" s="13" t="s">
        <v>600</v>
      </c>
      <c r="D47" s="13"/>
      <c r="E47" s="13"/>
      <c r="F47" s="14">
        <v>1071148</v>
      </c>
    </row>
    <row r="48" spans="1:6" x14ac:dyDescent="0.3">
      <c r="A48" s="21">
        <v>46086</v>
      </c>
      <c r="B48" s="13" t="s">
        <v>655</v>
      </c>
      <c r="C48" s="13" t="s">
        <v>600</v>
      </c>
      <c r="D48" s="13"/>
      <c r="E48" s="13"/>
      <c r="F48" s="14">
        <v>532160.57999999996</v>
      </c>
    </row>
    <row r="49" spans="1:6" x14ac:dyDescent="0.3">
      <c r="A49" s="21">
        <v>46086</v>
      </c>
      <c r="B49" s="13" t="s">
        <v>656</v>
      </c>
      <c r="C49" s="13" t="s">
        <v>600</v>
      </c>
      <c r="D49" s="13"/>
      <c r="E49" s="13"/>
      <c r="F49" s="14">
        <v>18086.63</v>
      </c>
    </row>
    <row r="50" spans="1:6" x14ac:dyDescent="0.3">
      <c r="A50" s="21">
        <v>46086</v>
      </c>
      <c r="B50" s="13" t="s">
        <v>657</v>
      </c>
      <c r="C50" s="13" t="s">
        <v>600</v>
      </c>
      <c r="D50" s="13"/>
      <c r="E50" s="13"/>
      <c r="F50" s="14">
        <v>690000</v>
      </c>
    </row>
    <row r="51" spans="1:6" x14ac:dyDescent="0.3">
      <c r="A51" s="21">
        <v>46086</v>
      </c>
      <c r="B51" s="13" t="s">
        <v>658</v>
      </c>
      <c r="C51" s="13" t="s">
        <v>600</v>
      </c>
      <c r="D51" s="13"/>
      <c r="E51" s="13"/>
      <c r="F51" s="14">
        <v>934228.37</v>
      </c>
    </row>
    <row r="52" spans="1:6" x14ac:dyDescent="0.3">
      <c r="A52" s="21">
        <v>46086</v>
      </c>
      <c r="B52" s="13" t="s">
        <v>659</v>
      </c>
      <c r="C52" s="13" t="s">
        <v>600</v>
      </c>
      <c r="D52" s="13"/>
      <c r="E52" s="13"/>
      <c r="F52" s="14">
        <v>1000000</v>
      </c>
    </row>
    <row r="53" spans="1:6" x14ac:dyDescent="0.3">
      <c r="A53" s="21">
        <v>46086</v>
      </c>
      <c r="B53" s="13" t="s">
        <v>660</v>
      </c>
      <c r="C53" s="13" t="s">
        <v>600</v>
      </c>
      <c r="D53" s="13"/>
      <c r="E53" s="13"/>
      <c r="F53" s="14">
        <v>1249500</v>
      </c>
    </row>
    <row r="54" spans="1:6" x14ac:dyDescent="0.3">
      <c r="A54" s="21">
        <v>46086</v>
      </c>
      <c r="B54" s="13" t="s">
        <v>661</v>
      </c>
      <c r="C54" s="13" t="s">
        <v>600</v>
      </c>
      <c r="D54" s="13"/>
      <c r="E54" s="13"/>
      <c r="F54" s="14">
        <v>586850</v>
      </c>
    </row>
    <row r="55" spans="1:6" x14ac:dyDescent="0.3">
      <c r="A55" s="21">
        <v>46086</v>
      </c>
      <c r="B55" s="13" t="s">
        <v>662</v>
      </c>
      <c r="C55" s="13" t="s">
        <v>600</v>
      </c>
      <c r="D55" s="13"/>
      <c r="E55" s="13"/>
      <c r="F55" s="14">
        <v>18326</v>
      </c>
    </row>
    <row r="56" spans="1:6" x14ac:dyDescent="0.3">
      <c r="A56" s="21">
        <v>46086</v>
      </c>
      <c r="B56" s="13" t="s">
        <v>663</v>
      </c>
      <c r="C56" s="13" t="s">
        <v>600</v>
      </c>
      <c r="D56" s="13" t="s">
        <v>664</v>
      </c>
      <c r="E56" s="14">
        <v>44232</v>
      </c>
      <c r="F56" s="13"/>
    </row>
    <row r="57" spans="1:6" x14ac:dyDescent="0.3">
      <c r="A57" s="21">
        <v>46086</v>
      </c>
      <c r="B57" s="13" t="s">
        <v>665</v>
      </c>
      <c r="C57" s="13" t="s">
        <v>600</v>
      </c>
      <c r="D57" s="13"/>
      <c r="E57" s="13"/>
      <c r="F57" s="14">
        <v>9000000</v>
      </c>
    </row>
    <row r="58" spans="1:6" x14ac:dyDescent="0.3">
      <c r="A58" s="21">
        <v>46086</v>
      </c>
      <c r="B58" s="13" t="s">
        <v>666</v>
      </c>
      <c r="C58" s="13" t="s">
        <v>600</v>
      </c>
      <c r="D58" s="13"/>
      <c r="E58" s="14">
        <v>1000000</v>
      </c>
      <c r="F58" s="13"/>
    </row>
    <row r="59" spans="1:6" x14ac:dyDescent="0.3">
      <c r="A59" s="21">
        <v>46086</v>
      </c>
      <c r="B59" s="13" t="s">
        <v>667</v>
      </c>
      <c r="C59" s="13" t="s">
        <v>600</v>
      </c>
      <c r="D59" s="13" t="s">
        <v>668</v>
      </c>
      <c r="E59" s="14">
        <v>621363.6</v>
      </c>
      <c r="F59" s="13"/>
    </row>
    <row r="60" spans="1:6" x14ac:dyDescent="0.3">
      <c r="A60" s="21">
        <v>46086</v>
      </c>
      <c r="B60" s="13" t="s">
        <v>669</v>
      </c>
      <c r="C60" s="13" t="s">
        <v>600</v>
      </c>
      <c r="D60" s="13" t="s">
        <v>670</v>
      </c>
      <c r="E60" s="14">
        <v>4968.9399999999996</v>
      </c>
      <c r="F60" s="13"/>
    </row>
    <row r="61" spans="1:6" x14ac:dyDescent="0.3">
      <c r="A61" s="21">
        <v>46086</v>
      </c>
      <c r="B61" s="13" t="s">
        <v>671</v>
      </c>
      <c r="C61" s="13" t="s">
        <v>600</v>
      </c>
      <c r="D61" s="13" t="s">
        <v>672</v>
      </c>
      <c r="E61" s="14">
        <v>2085341</v>
      </c>
      <c r="F61" s="13"/>
    </row>
    <row r="62" spans="1:6" x14ac:dyDescent="0.3">
      <c r="A62" s="21">
        <v>46086</v>
      </c>
      <c r="B62" s="13" t="s">
        <v>673</v>
      </c>
      <c r="C62" s="13" t="s">
        <v>600</v>
      </c>
      <c r="D62" s="13" t="s">
        <v>674</v>
      </c>
      <c r="E62" s="14">
        <v>1593833.47</v>
      </c>
      <c r="F62" s="13"/>
    </row>
    <row r="63" spans="1:6" x14ac:dyDescent="0.3">
      <c r="A63" s="21">
        <v>46086</v>
      </c>
      <c r="B63" s="13" t="s">
        <v>675</v>
      </c>
      <c r="C63" s="13" t="s">
        <v>600</v>
      </c>
      <c r="D63" s="13"/>
      <c r="E63" s="14">
        <v>113286.66</v>
      </c>
      <c r="F63" s="13"/>
    </row>
    <row r="64" spans="1:6" x14ac:dyDescent="0.3">
      <c r="A64" s="21">
        <v>46086</v>
      </c>
      <c r="B64" s="13" t="s">
        <v>675</v>
      </c>
      <c r="C64" s="13" t="s">
        <v>600</v>
      </c>
      <c r="D64" s="13"/>
      <c r="E64" s="14">
        <v>23590.97</v>
      </c>
      <c r="F64" s="13"/>
    </row>
    <row r="65" spans="1:6" x14ac:dyDescent="0.3">
      <c r="A65" s="21">
        <v>46087</v>
      </c>
      <c r="B65" s="13" t="s">
        <v>676</v>
      </c>
      <c r="C65" s="13" t="s">
        <v>600</v>
      </c>
      <c r="D65" s="13" t="s">
        <v>677</v>
      </c>
      <c r="E65" s="14">
        <v>65385.599999999999</v>
      </c>
      <c r="F65" s="13"/>
    </row>
    <row r="66" spans="1:6" x14ac:dyDescent="0.3">
      <c r="A66" s="21">
        <v>46087</v>
      </c>
      <c r="B66" s="13" t="s">
        <v>678</v>
      </c>
      <c r="C66" s="13" t="s">
        <v>600</v>
      </c>
      <c r="D66" s="13" t="s">
        <v>679</v>
      </c>
      <c r="E66" s="14">
        <v>692835</v>
      </c>
      <c r="F66" s="13"/>
    </row>
    <row r="67" spans="1:6" x14ac:dyDescent="0.3">
      <c r="A67" s="21">
        <v>46087</v>
      </c>
      <c r="B67" s="13" t="s">
        <v>680</v>
      </c>
      <c r="C67" s="13" t="s">
        <v>600</v>
      </c>
      <c r="D67" s="13" t="s">
        <v>681</v>
      </c>
      <c r="E67" s="14">
        <v>14984.42</v>
      </c>
      <c r="F67" s="13"/>
    </row>
    <row r="68" spans="1:6" x14ac:dyDescent="0.3">
      <c r="A68" s="21">
        <v>46087</v>
      </c>
      <c r="B68" s="13" t="s">
        <v>682</v>
      </c>
      <c r="C68" s="13" t="s">
        <v>600</v>
      </c>
      <c r="D68" s="13" t="s">
        <v>683</v>
      </c>
      <c r="E68" s="14">
        <v>17535.62</v>
      </c>
      <c r="F68" s="13"/>
    </row>
    <row r="69" spans="1:6" x14ac:dyDescent="0.3">
      <c r="A69" s="21">
        <v>46087</v>
      </c>
      <c r="B69" s="13" t="s">
        <v>684</v>
      </c>
      <c r="C69" s="13" t="s">
        <v>600</v>
      </c>
      <c r="D69" s="13" t="s">
        <v>685</v>
      </c>
      <c r="E69" s="14">
        <v>530751.65</v>
      </c>
      <c r="F69" s="13"/>
    </row>
    <row r="70" spans="1:6" x14ac:dyDescent="0.3">
      <c r="A70" s="21">
        <v>46087</v>
      </c>
      <c r="B70" s="13" t="s">
        <v>684</v>
      </c>
      <c r="C70" s="13" t="s">
        <v>600</v>
      </c>
      <c r="D70" s="13" t="s">
        <v>686</v>
      </c>
      <c r="E70" s="14">
        <v>625867.81000000006</v>
      </c>
      <c r="F70" s="13"/>
    </row>
    <row r="71" spans="1:6" x14ac:dyDescent="0.3">
      <c r="A71" s="21">
        <v>46087</v>
      </c>
      <c r="B71" s="13" t="s">
        <v>687</v>
      </c>
      <c r="C71" s="13" t="s">
        <v>600</v>
      </c>
      <c r="D71" s="13" t="s">
        <v>688</v>
      </c>
      <c r="E71" s="14">
        <v>686920.15</v>
      </c>
      <c r="F71" s="13"/>
    </row>
    <row r="72" spans="1:6" x14ac:dyDescent="0.3">
      <c r="A72" s="21">
        <v>46087</v>
      </c>
      <c r="B72" s="13" t="s">
        <v>689</v>
      </c>
      <c r="C72" s="13" t="s">
        <v>600</v>
      </c>
      <c r="D72" s="13" t="s">
        <v>690</v>
      </c>
      <c r="E72" s="14">
        <v>33984.639999999999</v>
      </c>
      <c r="F72" s="13"/>
    </row>
    <row r="73" spans="1:6" x14ac:dyDescent="0.3">
      <c r="A73" s="21">
        <v>46087</v>
      </c>
      <c r="B73" s="13" t="s">
        <v>691</v>
      </c>
      <c r="C73" s="13" t="s">
        <v>600</v>
      </c>
      <c r="D73" s="13" t="s">
        <v>692</v>
      </c>
      <c r="E73" s="14">
        <v>11188.66</v>
      </c>
      <c r="F73" s="13"/>
    </row>
    <row r="74" spans="1:6" x14ac:dyDescent="0.3">
      <c r="A74" s="21">
        <v>46087</v>
      </c>
      <c r="B74" s="13" t="s">
        <v>693</v>
      </c>
      <c r="C74" s="13" t="s">
        <v>600</v>
      </c>
      <c r="D74" s="13" t="s">
        <v>694</v>
      </c>
      <c r="E74" s="14">
        <v>2051329.44</v>
      </c>
      <c r="F74" s="13"/>
    </row>
    <row r="75" spans="1:6" x14ac:dyDescent="0.3">
      <c r="A75" s="21">
        <v>46087</v>
      </c>
      <c r="B75" s="13" t="s">
        <v>695</v>
      </c>
      <c r="C75" s="13" t="s">
        <v>600</v>
      </c>
      <c r="D75" s="13" t="s">
        <v>696</v>
      </c>
      <c r="E75" s="14">
        <v>15080</v>
      </c>
      <c r="F75" s="13"/>
    </row>
    <row r="76" spans="1:6" x14ac:dyDescent="0.3">
      <c r="A76" s="21">
        <v>46087</v>
      </c>
      <c r="B76" s="13" t="s">
        <v>697</v>
      </c>
      <c r="C76" s="13" t="s">
        <v>600</v>
      </c>
      <c r="D76" s="13" t="s">
        <v>698</v>
      </c>
      <c r="E76" s="14">
        <v>26218.89</v>
      </c>
      <c r="F76" s="13"/>
    </row>
    <row r="77" spans="1:6" x14ac:dyDescent="0.3">
      <c r="A77" s="21">
        <v>46087</v>
      </c>
      <c r="B77" s="13" t="s">
        <v>699</v>
      </c>
      <c r="C77" s="13" t="s">
        <v>600</v>
      </c>
      <c r="D77" s="13" t="s">
        <v>700</v>
      </c>
      <c r="E77" s="14">
        <v>28606.25</v>
      </c>
      <c r="F77" s="13"/>
    </row>
    <row r="78" spans="1:6" x14ac:dyDescent="0.3">
      <c r="A78" s="21">
        <v>46087</v>
      </c>
      <c r="B78" s="13" t="s">
        <v>701</v>
      </c>
      <c r="C78" s="13" t="s">
        <v>600</v>
      </c>
      <c r="D78" s="13" t="s">
        <v>702</v>
      </c>
      <c r="E78" s="14">
        <v>12069.75</v>
      </c>
      <c r="F78" s="13"/>
    </row>
    <row r="79" spans="1:6" x14ac:dyDescent="0.3">
      <c r="A79" s="21">
        <v>46087</v>
      </c>
      <c r="B79" s="13" t="s">
        <v>703</v>
      </c>
      <c r="C79" s="13" t="s">
        <v>600</v>
      </c>
      <c r="D79" s="13"/>
      <c r="E79" s="14">
        <v>130791.44</v>
      </c>
      <c r="F79" s="13"/>
    </row>
    <row r="80" spans="1:6" x14ac:dyDescent="0.3">
      <c r="A80" s="21">
        <v>46087</v>
      </c>
      <c r="B80" s="13" t="s">
        <v>703</v>
      </c>
      <c r="C80" s="13" t="s">
        <v>600</v>
      </c>
      <c r="D80" s="13"/>
      <c r="E80" s="14">
        <v>29445.21</v>
      </c>
      <c r="F80" s="13"/>
    </row>
    <row r="81" spans="1:6" x14ac:dyDescent="0.3">
      <c r="A81" s="21">
        <v>46088</v>
      </c>
      <c r="B81" s="13" t="s">
        <v>704</v>
      </c>
      <c r="C81" s="13" t="s">
        <v>600</v>
      </c>
      <c r="D81" s="13" t="s">
        <v>705</v>
      </c>
      <c r="E81" s="14">
        <v>11110.9</v>
      </c>
      <c r="F81" s="13"/>
    </row>
    <row r="82" spans="1:6" x14ac:dyDescent="0.3">
      <c r="A82" s="21">
        <v>46089</v>
      </c>
      <c r="B82" s="13" t="s">
        <v>706</v>
      </c>
      <c r="C82" s="13" t="s">
        <v>600</v>
      </c>
      <c r="D82" s="13" t="s">
        <v>707</v>
      </c>
      <c r="E82" s="14">
        <v>9257.52</v>
      </c>
      <c r="F82" s="13"/>
    </row>
    <row r="83" spans="1:6" x14ac:dyDescent="0.3">
      <c r="A83" s="21">
        <v>46090</v>
      </c>
      <c r="B83" s="13" t="s">
        <v>708</v>
      </c>
      <c r="C83" s="13" t="s">
        <v>600</v>
      </c>
      <c r="D83" s="13" t="s">
        <v>709</v>
      </c>
      <c r="E83" s="14">
        <v>30033.72</v>
      </c>
      <c r="F83" s="13"/>
    </row>
    <row r="84" spans="1:6" x14ac:dyDescent="0.3">
      <c r="A84" s="21">
        <v>46090</v>
      </c>
      <c r="B84" s="13" t="s">
        <v>708</v>
      </c>
      <c r="C84" s="13" t="s">
        <v>600</v>
      </c>
      <c r="D84" s="13" t="s">
        <v>710</v>
      </c>
      <c r="E84" s="14">
        <v>195527.71</v>
      </c>
      <c r="F84" s="13"/>
    </row>
    <row r="85" spans="1:6" x14ac:dyDescent="0.3">
      <c r="A85" s="21">
        <v>46090</v>
      </c>
      <c r="B85" s="13" t="s">
        <v>711</v>
      </c>
      <c r="C85" s="13" t="s">
        <v>600</v>
      </c>
      <c r="D85" s="13" t="s">
        <v>712</v>
      </c>
      <c r="E85" s="14">
        <v>597001.80000000005</v>
      </c>
      <c r="F85" s="13"/>
    </row>
    <row r="86" spans="1:6" x14ac:dyDescent="0.3">
      <c r="A86" s="21">
        <v>46090</v>
      </c>
      <c r="B86" s="13" t="s">
        <v>711</v>
      </c>
      <c r="C86" s="13" t="s">
        <v>600</v>
      </c>
      <c r="D86" s="13" t="s">
        <v>713</v>
      </c>
      <c r="E86" s="14">
        <v>590000</v>
      </c>
      <c r="F86" s="13"/>
    </row>
    <row r="87" spans="1:6" x14ac:dyDescent="0.3">
      <c r="A87" s="21">
        <v>46090</v>
      </c>
      <c r="B87" s="13" t="s">
        <v>714</v>
      </c>
      <c r="C87" s="13" t="s">
        <v>600</v>
      </c>
      <c r="D87" s="13" t="s">
        <v>715</v>
      </c>
      <c r="E87" s="14">
        <v>383868.6</v>
      </c>
      <c r="F87" s="13"/>
    </row>
    <row r="88" spans="1:6" x14ac:dyDescent="0.3">
      <c r="A88" s="21">
        <v>46090</v>
      </c>
      <c r="B88" s="13" t="s">
        <v>716</v>
      </c>
      <c r="C88" s="13" t="s">
        <v>600</v>
      </c>
      <c r="D88" s="13"/>
      <c r="E88" s="13"/>
      <c r="F88" s="14">
        <v>26415466.68</v>
      </c>
    </row>
    <row r="89" spans="1:6" x14ac:dyDescent="0.3">
      <c r="A89" s="21">
        <v>46090</v>
      </c>
      <c r="B89" s="13" t="s">
        <v>717</v>
      </c>
      <c r="C89" s="13" t="s">
        <v>600</v>
      </c>
      <c r="D89" s="13"/>
      <c r="E89" s="13"/>
      <c r="F89" s="14">
        <v>99627.86</v>
      </c>
    </row>
    <row r="90" spans="1:6" x14ac:dyDescent="0.3">
      <c r="A90" s="21">
        <v>46090</v>
      </c>
      <c r="B90" s="13" t="s">
        <v>718</v>
      </c>
      <c r="C90" s="13" t="s">
        <v>600</v>
      </c>
      <c r="D90" s="13"/>
      <c r="E90" s="13"/>
      <c r="F90" s="14">
        <v>124614</v>
      </c>
    </row>
    <row r="91" spans="1:6" x14ac:dyDescent="0.3">
      <c r="A91" s="21">
        <v>46090</v>
      </c>
      <c r="B91" s="13" t="s">
        <v>719</v>
      </c>
      <c r="C91" s="13" t="s">
        <v>600</v>
      </c>
      <c r="D91" s="13" t="s">
        <v>720</v>
      </c>
      <c r="E91" s="14">
        <v>20030.88</v>
      </c>
      <c r="F91" s="13"/>
    </row>
    <row r="92" spans="1:6" x14ac:dyDescent="0.3">
      <c r="A92" s="21">
        <v>46090</v>
      </c>
      <c r="B92" s="13" t="s">
        <v>721</v>
      </c>
      <c r="C92" s="13" t="s">
        <v>600</v>
      </c>
      <c r="D92" s="13" t="s">
        <v>722</v>
      </c>
      <c r="E92" s="14">
        <v>7417</v>
      </c>
      <c r="F92" s="13"/>
    </row>
    <row r="93" spans="1:6" x14ac:dyDescent="0.3">
      <c r="A93" s="21">
        <v>46090</v>
      </c>
      <c r="B93" s="13" t="s">
        <v>723</v>
      </c>
      <c r="C93" s="13" t="s">
        <v>600</v>
      </c>
      <c r="D93" s="13" t="s">
        <v>724</v>
      </c>
      <c r="E93" s="14">
        <v>276530.8</v>
      </c>
      <c r="F93" s="13"/>
    </row>
    <row r="94" spans="1:6" x14ac:dyDescent="0.3">
      <c r="A94" s="21">
        <v>46090</v>
      </c>
      <c r="B94" s="13" t="s">
        <v>725</v>
      </c>
      <c r="C94" s="13" t="s">
        <v>600</v>
      </c>
      <c r="D94" s="13" t="s">
        <v>726</v>
      </c>
      <c r="E94" s="14">
        <v>1221564</v>
      </c>
      <c r="F94" s="13"/>
    </row>
    <row r="95" spans="1:6" x14ac:dyDescent="0.3">
      <c r="A95" s="21">
        <v>46090</v>
      </c>
      <c r="B95" s="13" t="s">
        <v>727</v>
      </c>
      <c r="C95" s="13" t="s">
        <v>600</v>
      </c>
      <c r="D95" s="13" t="s">
        <v>728</v>
      </c>
      <c r="E95" s="14">
        <v>4203.18</v>
      </c>
      <c r="F95" s="13"/>
    </row>
    <row r="96" spans="1:6" x14ac:dyDescent="0.3">
      <c r="A96" s="21">
        <v>46090</v>
      </c>
      <c r="B96" s="13" t="s">
        <v>729</v>
      </c>
      <c r="C96" s="13" t="s">
        <v>600</v>
      </c>
      <c r="D96" s="13"/>
      <c r="E96" s="14">
        <v>119664.46</v>
      </c>
      <c r="F96" s="13"/>
    </row>
    <row r="97" spans="1:6" x14ac:dyDescent="0.3">
      <c r="A97" s="21">
        <v>46090</v>
      </c>
      <c r="B97" s="13" t="s">
        <v>729</v>
      </c>
      <c r="C97" s="13" t="s">
        <v>600</v>
      </c>
      <c r="D97" s="13"/>
      <c r="E97" s="14">
        <v>709282.98</v>
      </c>
      <c r="F97" s="13"/>
    </row>
    <row r="98" spans="1:6" x14ac:dyDescent="0.3">
      <c r="A98" s="21">
        <v>46091</v>
      </c>
      <c r="B98" s="13" t="s">
        <v>730</v>
      </c>
      <c r="C98" s="13" t="s">
        <v>600</v>
      </c>
      <c r="D98" s="13"/>
      <c r="E98" s="13"/>
      <c r="F98" s="14">
        <v>177000</v>
      </c>
    </row>
    <row r="99" spans="1:6" x14ac:dyDescent="0.3">
      <c r="A99" s="21">
        <v>46091</v>
      </c>
      <c r="B99" s="13" t="s">
        <v>731</v>
      </c>
      <c r="C99" s="13" t="s">
        <v>600</v>
      </c>
      <c r="D99" s="13"/>
      <c r="E99" s="13"/>
      <c r="F99" s="14">
        <v>155000</v>
      </c>
    </row>
    <row r="100" spans="1:6" x14ac:dyDescent="0.3">
      <c r="A100" s="21">
        <v>46091</v>
      </c>
      <c r="B100" s="13" t="s">
        <v>732</v>
      </c>
      <c r="C100" s="13" t="s">
        <v>600</v>
      </c>
      <c r="D100" s="13"/>
      <c r="E100" s="13"/>
      <c r="F100" s="14">
        <v>131594.76</v>
      </c>
    </row>
    <row r="101" spans="1:6" x14ac:dyDescent="0.3">
      <c r="A101" s="21">
        <v>46091</v>
      </c>
      <c r="B101" s="13" t="s">
        <v>733</v>
      </c>
      <c r="C101" s="13" t="s">
        <v>600</v>
      </c>
      <c r="D101" s="13"/>
      <c r="E101" s="13"/>
      <c r="F101" s="14">
        <v>110958.19</v>
      </c>
    </row>
    <row r="102" spans="1:6" x14ac:dyDescent="0.3">
      <c r="A102" s="21">
        <v>46091</v>
      </c>
      <c r="B102" s="13" t="s">
        <v>734</v>
      </c>
      <c r="C102" s="13" t="s">
        <v>600</v>
      </c>
      <c r="D102" s="13"/>
      <c r="E102" s="13"/>
      <c r="F102" s="14">
        <v>28484.75</v>
      </c>
    </row>
    <row r="103" spans="1:6" x14ac:dyDescent="0.3">
      <c r="A103" s="21">
        <v>46091</v>
      </c>
      <c r="B103" s="13" t="s">
        <v>735</v>
      </c>
      <c r="C103" s="13" t="s">
        <v>600</v>
      </c>
      <c r="D103" s="13"/>
      <c r="E103" s="13"/>
      <c r="F103" s="14">
        <v>39649.050000000003</v>
      </c>
    </row>
    <row r="104" spans="1:6" x14ac:dyDescent="0.3">
      <c r="A104" s="21">
        <v>46091</v>
      </c>
      <c r="B104" s="13" t="s">
        <v>736</v>
      </c>
      <c r="C104" s="13" t="s">
        <v>600</v>
      </c>
      <c r="D104" s="13"/>
      <c r="E104" s="13"/>
      <c r="F104" s="14">
        <v>115531.85</v>
      </c>
    </row>
    <row r="105" spans="1:6" x14ac:dyDescent="0.3">
      <c r="A105" s="21">
        <v>46091</v>
      </c>
      <c r="B105" s="13" t="s">
        <v>737</v>
      </c>
      <c r="C105" s="13" t="s">
        <v>600</v>
      </c>
      <c r="D105" s="13"/>
      <c r="E105" s="13"/>
      <c r="F105" s="14">
        <v>30594.97</v>
      </c>
    </row>
    <row r="106" spans="1:6" x14ac:dyDescent="0.3">
      <c r="A106" s="21">
        <v>46091</v>
      </c>
      <c r="B106" s="13" t="s">
        <v>738</v>
      </c>
      <c r="C106" s="13" t="s">
        <v>600</v>
      </c>
      <c r="D106" s="13"/>
      <c r="E106" s="13"/>
      <c r="F106" s="14">
        <v>559668.68000000005</v>
      </c>
    </row>
    <row r="107" spans="1:6" x14ac:dyDescent="0.3">
      <c r="A107" s="21">
        <v>46091</v>
      </c>
      <c r="B107" s="13" t="s">
        <v>739</v>
      </c>
      <c r="C107" s="13" t="s">
        <v>600</v>
      </c>
      <c r="D107" s="13"/>
      <c r="E107" s="13"/>
      <c r="F107" s="14">
        <v>1545864.54</v>
      </c>
    </row>
    <row r="108" spans="1:6" x14ac:dyDescent="0.3">
      <c r="A108" s="21">
        <v>46091</v>
      </c>
      <c r="B108" s="13" t="s">
        <v>740</v>
      </c>
      <c r="C108" s="13" t="s">
        <v>600</v>
      </c>
      <c r="D108" s="13"/>
      <c r="E108" s="13"/>
      <c r="F108" s="14">
        <v>292327.03999999998</v>
      </c>
    </row>
    <row r="109" spans="1:6" x14ac:dyDescent="0.3">
      <c r="A109" s="21">
        <v>46091</v>
      </c>
      <c r="B109" s="13" t="s">
        <v>741</v>
      </c>
      <c r="C109" s="13" t="s">
        <v>600</v>
      </c>
      <c r="D109" s="13"/>
      <c r="E109" s="13"/>
      <c r="F109" s="14">
        <v>404268.98</v>
      </c>
    </row>
    <row r="110" spans="1:6" x14ac:dyDescent="0.3">
      <c r="A110" s="21">
        <v>46091</v>
      </c>
      <c r="B110" s="13" t="s">
        <v>742</v>
      </c>
      <c r="C110" s="13" t="s">
        <v>600</v>
      </c>
      <c r="D110" s="13"/>
      <c r="E110" s="13"/>
      <c r="F110" s="14">
        <v>84000</v>
      </c>
    </row>
    <row r="111" spans="1:6" x14ac:dyDescent="0.3">
      <c r="A111" s="21">
        <v>46091</v>
      </c>
      <c r="B111" s="13" t="s">
        <v>743</v>
      </c>
      <c r="C111" s="13" t="s">
        <v>600</v>
      </c>
      <c r="D111" s="13"/>
      <c r="E111" s="13"/>
      <c r="F111" s="14">
        <v>862730</v>
      </c>
    </row>
    <row r="112" spans="1:6" x14ac:dyDescent="0.3">
      <c r="A112" s="21">
        <v>46091</v>
      </c>
      <c r="B112" s="13" t="s">
        <v>744</v>
      </c>
      <c r="C112" s="13" t="s">
        <v>600</v>
      </c>
      <c r="D112" s="13"/>
      <c r="E112" s="13"/>
      <c r="F112" s="14">
        <v>459242.49</v>
      </c>
    </row>
    <row r="113" spans="1:6" x14ac:dyDescent="0.3">
      <c r="A113" s="21">
        <v>46091</v>
      </c>
      <c r="B113" s="13" t="s">
        <v>745</v>
      </c>
      <c r="C113" s="13" t="s">
        <v>600</v>
      </c>
      <c r="D113" s="13" t="s">
        <v>672</v>
      </c>
      <c r="E113" s="14">
        <v>1024647.4</v>
      </c>
      <c r="F113" s="13"/>
    </row>
    <row r="114" spans="1:6" x14ac:dyDescent="0.3">
      <c r="A114" s="21">
        <v>46091</v>
      </c>
      <c r="B114" s="13" t="s">
        <v>746</v>
      </c>
      <c r="C114" s="13" t="s">
        <v>600</v>
      </c>
      <c r="D114" s="13" t="s">
        <v>747</v>
      </c>
      <c r="E114" s="14">
        <v>236436.76</v>
      </c>
      <c r="F114" s="13"/>
    </row>
    <row r="115" spans="1:6" x14ac:dyDescent="0.3">
      <c r="A115" s="21">
        <v>46091</v>
      </c>
      <c r="B115" s="13" t="s">
        <v>748</v>
      </c>
      <c r="C115" s="13" t="s">
        <v>600</v>
      </c>
      <c r="D115" s="13"/>
      <c r="E115" s="14">
        <v>71602999.819999993</v>
      </c>
      <c r="F115" s="13"/>
    </row>
    <row r="116" spans="1:6" x14ac:dyDescent="0.3">
      <c r="A116" s="21">
        <v>46091</v>
      </c>
      <c r="B116" s="13" t="s">
        <v>749</v>
      </c>
      <c r="C116" s="13" t="s">
        <v>600</v>
      </c>
      <c r="D116" s="13"/>
      <c r="E116" s="13"/>
      <c r="F116" s="14">
        <v>70000000</v>
      </c>
    </row>
    <row r="117" spans="1:6" x14ac:dyDescent="0.3">
      <c r="A117" s="21">
        <v>46091</v>
      </c>
      <c r="B117" s="13" t="s">
        <v>750</v>
      </c>
      <c r="C117" s="13" t="s">
        <v>600</v>
      </c>
      <c r="D117" s="13"/>
      <c r="E117" s="14">
        <v>100000000</v>
      </c>
      <c r="F117" s="13"/>
    </row>
    <row r="118" spans="1:6" x14ac:dyDescent="0.3">
      <c r="A118" s="21">
        <v>46091</v>
      </c>
      <c r="B118" s="13" t="s">
        <v>751</v>
      </c>
      <c r="C118" s="13" t="s">
        <v>600</v>
      </c>
      <c r="D118" s="13"/>
      <c r="E118" s="13"/>
      <c r="F118" s="14">
        <v>100000000</v>
      </c>
    </row>
    <row r="119" spans="1:6" x14ac:dyDescent="0.3">
      <c r="A119" s="21">
        <v>46091</v>
      </c>
      <c r="B119" s="13" t="s">
        <v>752</v>
      </c>
      <c r="C119" s="13" t="s">
        <v>600</v>
      </c>
      <c r="D119" s="13"/>
      <c r="E119" s="14">
        <v>1000000</v>
      </c>
      <c r="F119" s="13"/>
    </row>
    <row r="120" spans="1:6" x14ac:dyDescent="0.3">
      <c r="A120" s="21">
        <v>46091</v>
      </c>
      <c r="B120" s="13" t="s">
        <v>753</v>
      </c>
      <c r="C120" s="13" t="s">
        <v>600</v>
      </c>
      <c r="D120" s="13"/>
      <c r="E120" s="14">
        <v>1000000</v>
      </c>
      <c r="F120" s="13"/>
    </row>
    <row r="121" spans="1:6" x14ac:dyDescent="0.3">
      <c r="A121" s="21">
        <v>46091</v>
      </c>
      <c r="B121" s="13" t="s">
        <v>754</v>
      </c>
      <c r="C121" s="13" t="s">
        <v>600</v>
      </c>
      <c r="D121" s="13" t="s">
        <v>755</v>
      </c>
      <c r="E121" s="14">
        <v>929482.2</v>
      </c>
      <c r="F121" s="13"/>
    </row>
    <row r="122" spans="1:6" x14ac:dyDescent="0.3">
      <c r="A122" s="21">
        <v>46091</v>
      </c>
      <c r="B122" s="13" t="s">
        <v>756</v>
      </c>
      <c r="C122" s="13" t="s">
        <v>600</v>
      </c>
      <c r="D122" s="13"/>
      <c r="E122" s="13"/>
      <c r="F122" s="14">
        <v>866549.56</v>
      </c>
    </row>
    <row r="123" spans="1:6" x14ac:dyDescent="0.3">
      <c r="A123" s="21">
        <v>46091</v>
      </c>
      <c r="B123" s="13" t="s">
        <v>757</v>
      </c>
      <c r="C123" s="13" t="s">
        <v>600</v>
      </c>
      <c r="D123" s="13"/>
      <c r="E123" s="13"/>
      <c r="F123" s="14">
        <v>121416.31</v>
      </c>
    </row>
    <row r="124" spans="1:6" x14ac:dyDescent="0.3">
      <c r="A124" s="21">
        <v>46091</v>
      </c>
      <c r="B124" s="13" t="s">
        <v>758</v>
      </c>
      <c r="C124" s="13" t="s">
        <v>600</v>
      </c>
      <c r="D124" s="13"/>
      <c r="E124" s="13"/>
      <c r="F124" s="14">
        <v>221006.25</v>
      </c>
    </row>
    <row r="125" spans="1:6" x14ac:dyDescent="0.3">
      <c r="A125" s="21">
        <v>46091</v>
      </c>
      <c r="B125" s="13" t="s">
        <v>759</v>
      </c>
      <c r="C125" s="13" t="s">
        <v>600</v>
      </c>
      <c r="D125" s="13"/>
      <c r="E125" s="13"/>
      <c r="F125" s="14">
        <v>67157.399999999994</v>
      </c>
    </row>
    <row r="126" spans="1:6" x14ac:dyDescent="0.3">
      <c r="A126" s="21">
        <v>46091</v>
      </c>
      <c r="B126" s="13" t="s">
        <v>759</v>
      </c>
      <c r="C126" s="13" t="s">
        <v>600</v>
      </c>
      <c r="D126" s="13"/>
      <c r="E126" s="13"/>
      <c r="F126" s="14">
        <v>851003.8</v>
      </c>
    </row>
    <row r="127" spans="1:6" x14ac:dyDescent="0.3">
      <c r="A127" s="21">
        <v>46091</v>
      </c>
      <c r="B127" s="13" t="s">
        <v>760</v>
      </c>
      <c r="C127" s="13" t="s">
        <v>600</v>
      </c>
      <c r="D127" s="13"/>
      <c r="E127" s="13"/>
      <c r="F127" s="14">
        <v>1487064</v>
      </c>
    </row>
    <row r="128" spans="1:6" x14ac:dyDescent="0.3">
      <c r="A128" s="21">
        <v>46091</v>
      </c>
      <c r="B128" s="13" t="s">
        <v>761</v>
      </c>
      <c r="C128" s="13" t="s">
        <v>600</v>
      </c>
      <c r="D128" s="13"/>
      <c r="E128" s="13"/>
      <c r="F128" s="14">
        <v>649197.59</v>
      </c>
    </row>
    <row r="129" spans="1:6" x14ac:dyDescent="0.3">
      <c r="A129" s="21">
        <v>46091</v>
      </c>
      <c r="B129" s="13" t="s">
        <v>762</v>
      </c>
      <c r="C129" s="13" t="s">
        <v>600</v>
      </c>
      <c r="D129" s="13"/>
      <c r="E129" s="14">
        <v>253589.73</v>
      </c>
      <c r="F129" s="13"/>
    </row>
    <row r="130" spans="1:6" x14ac:dyDescent="0.3">
      <c r="A130" s="21">
        <v>46091</v>
      </c>
      <c r="B130" s="13" t="s">
        <v>762</v>
      </c>
      <c r="C130" s="13" t="s">
        <v>600</v>
      </c>
      <c r="D130" s="13"/>
      <c r="E130" s="14">
        <v>58802.63</v>
      </c>
      <c r="F130" s="13"/>
    </row>
    <row r="131" spans="1:6" x14ac:dyDescent="0.3">
      <c r="A131" s="21">
        <v>46091</v>
      </c>
      <c r="B131" s="13" t="s">
        <v>763</v>
      </c>
      <c r="C131" s="13" t="s">
        <v>600</v>
      </c>
      <c r="D131" s="13" t="s">
        <v>764</v>
      </c>
      <c r="E131" s="14">
        <v>26894.33</v>
      </c>
      <c r="F131" s="13"/>
    </row>
    <row r="132" spans="1:6" x14ac:dyDescent="0.3">
      <c r="A132" s="21">
        <v>46091</v>
      </c>
      <c r="B132" s="13" t="s">
        <v>765</v>
      </c>
      <c r="C132" s="13" t="s">
        <v>600</v>
      </c>
      <c r="D132" s="13" t="s">
        <v>766</v>
      </c>
      <c r="E132" s="14">
        <v>13001.79</v>
      </c>
      <c r="F132" s="13"/>
    </row>
    <row r="133" spans="1:6" x14ac:dyDescent="0.3">
      <c r="A133" s="21">
        <v>46091</v>
      </c>
      <c r="B133" s="13" t="s">
        <v>767</v>
      </c>
      <c r="C133" s="13" t="s">
        <v>600</v>
      </c>
      <c r="D133" s="13" t="s">
        <v>768</v>
      </c>
      <c r="E133" s="14">
        <v>718310.78</v>
      </c>
      <c r="F133" s="13"/>
    </row>
    <row r="134" spans="1:6" x14ac:dyDescent="0.3">
      <c r="A134" s="21">
        <v>46091</v>
      </c>
      <c r="B134" s="13" t="s">
        <v>769</v>
      </c>
      <c r="C134" s="13" t="s">
        <v>600</v>
      </c>
      <c r="D134" s="13" t="s">
        <v>770</v>
      </c>
      <c r="E134" s="14">
        <v>23858.03</v>
      </c>
      <c r="F134" s="13"/>
    </row>
    <row r="135" spans="1:6" x14ac:dyDescent="0.3">
      <c r="A135" s="21">
        <v>46091</v>
      </c>
      <c r="B135" s="13" t="s">
        <v>771</v>
      </c>
      <c r="C135" s="13" t="s">
        <v>600</v>
      </c>
      <c r="D135" s="13" t="s">
        <v>772</v>
      </c>
      <c r="E135" s="14">
        <v>548459.80000000005</v>
      </c>
      <c r="F135" s="13"/>
    </row>
    <row r="136" spans="1:6" x14ac:dyDescent="0.3">
      <c r="A136" s="21">
        <v>46092</v>
      </c>
      <c r="B136" s="13" t="s">
        <v>773</v>
      </c>
      <c r="C136" s="13" t="s">
        <v>600</v>
      </c>
      <c r="D136" s="13"/>
      <c r="E136" s="13"/>
      <c r="F136" s="14">
        <v>98555.03</v>
      </c>
    </row>
    <row r="137" spans="1:6" x14ac:dyDescent="0.3">
      <c r="A137" s="21">
        <v>46092</v>
      </c>
      <c r="B137" s="13" t="s">
        <v>774</v>
      </c>
      <c r="C137" s="13" t="s">
        <v>600</v>
      </c>
      <c r="D137" s="13" t="s">
        <v>775</v>
      </c>
      <c r="E137" s="14">
        <v>696513.49</v>
      </c>
      <c r="F137" s="13"/>
    </row>
    <row r="138" spans="1:6" x14ac:dyDescent="0.3">
      <c r="A138" s="21">
        <v>46092</v>
      </c>
      <c r="B138" s="13" t="s">
        <v>776</v>
      </c>
      <c r="C138" s="13" t="s">
        <v>600</v>
      </c>
      <c r="D138" s="13" t="s">
        <v>777</v>
      </c>
      <c r="E138" s="14">
        <v>4113.12</v>
      </c>
      <c r="F138" s="13"/>
    </row>
    <row r="139" spans="1:6" x14ac:dyDescent="0.3">
      <c r="A139" s="21">
        <v>46092</v>
      </c>
      <c r="B139" s="13" t="s">
        <v>778</v>
      </c>
      <c r="C139" s="13" t="s">
        <v>600</v>
      </c>
      <c r="D139" s="13" t="s">
        <v>779</v>
      </c>
      <c r="E139" s="14">
        <v>321928.5</v>
      </c>
      <c r="F139" s="13"/>
    </row>
    <row r="140" spans="1:6" x14ac:dyDescent="0.3">
      <c r="A140" s="21">
        <v>46092</v>
      </c>
      <c r="B140" s="13" t="s">
        <v>780</v>
      </c>
      <c r="C140" s="13" t="s">
        <v>600</v>
      </c>
      <c r="D140" s="13" t="s">
        <v>781</v>
      </c>
      <c r="E140" s="14">
        <v>67325.350000000006</v>
      </c>
      <c r="F140" s="13"/>
    </row>
    <row r="141" spans="1:6" x14ac:dyDescent="0.3">
      <c r="A141" s="21">
        <v>46092</v>
      </c>
      <c r="B141" s="13" t="s">
        <v>780</v>
      </c>
      <c r="C141" s="13" t="s">
        <v>600</v>
      </c>
      <c r="D141" s="13" t="s">
        <v>782</v>
      </c>
      <c r="E141" s="14">
        <v>398540</v>
      </c>
      <c r="F141" s="13"/>
    </row>
    <row r="142" spans="1:6" x14ac:dyDescent="0.3">
      <c r="A142" s="21">
        <v>46092</v>
      </c>
      <c r="B142" s="13" t="s">
        <v>780</v>
      </c>
      <c r="C142" s="13" t="s">
        <v>600</v>
      </c>
      <c r="D142" s="13" t="s">
        <v>783</v>
      </c>
      <c r="E142" s="14">
        <v>1061307.1000000001</v>
      </c>
      <c r="F142" s="13"/>
    </row>
    <row r="143" spans="1:6" x14ac:dyDescent="0.3">
      <c r="A143" s="21">
        <v>46092</v>
      </c>
      <c r="B143" s="13" t="s">
        <v>780</v>
      </c>
      <c r="C143" s="13" t="s">
        <v>600</v>
      </c>
      <c r="D143" s="13" t="s">
        <v>784</v>
      </c>
      <c r="E143" s="14">
        <v>520001.75</v>
      </c>
      <c r="F143" s="13"/>
    </row>
    <row r="144" spans="1:6" x14ac:dyDescent="0.3">
      <c r="A144" s="21">
        <v>46092</v>
      </c>
      <c r="B144" s="13" t="s">
        <v>780</v>
      </c>
      <c r="C144" s="13" t="s">
        <v>600</v>
      </c>
      <c r="D144" s="13" t="s">
        <v>785</v>
      </c>
      <c r="E144" s="14">
        <v>80789.899999999994</v>
      </c>
      <c r="F144" s="13"/>
    </row>
    <row r="145" spans="1:6" x14ac:dyDescent="0.3">
      <c r="A145" s="21">
        <v>46092</v>
      </c>
      <c r="B145" s="13" t="s">
        <v>780</v>
      </c>
      <c r="C145" s="13" t="s">
        <v>600</v>
      </c>
      <c r="D145" s="13" t="s">
        <v>786</v>
      </c>
      <c r="E145" s="14">
        <v>629304.9</v>
      </c>
      <c r="F145" s="13"/>
    </row>
    <row r="146" spans="1:6" x14ac:dyDescent="0.3">
      <c r="A146" s="21">
        <v>46092</v>
      </c>
      <c r="B146" s="13" t="s">
        <v>780</v>
      </c>
      <c r="C146" s="13" t="s">
        <v>600</v>
      </c>
      <c r="D146" s="13" t="s">
        <v>787</v>
      </c>
      <c r="E146" s="14">
        <v>1445031.5</v>
      </c>
      <c r="F146" s="13"/>
    </row>
    <row r="147" spans="1:6" x14ac:dyDescent="0.3">
      <c r="A147" s="21">
        <v>46092</v>
      </c>
      <c r="B147" s="13" t="s">
        <v>788</v>
      </c>
      <c r="C147" s="13" t="s">
        <v>600</v>
      </c>
      <c r="D147" s="13" t="s">
        <v>789</v>
      </c>
      <c r="E147" s="14">
        <v>1161787.7</v>
      </c>
      <c r="F147" s="13"/>
    </row>
    <row r="148" spans="1:6" x14ac:dyDescent="0.3">
      <c r="A148" s="21">
        <v>46092</v>
      </c>
      <c r="B148" s="13" t="s">
        <v>790</v>
      </c>
      <c r="C148" s="13" t="s">
        <v>600</v>
      </c>
      <c r="D148" s="13" t="s">
        <v>791</v>
      </c>
      <c r="E148" s="14">
        <v>14175.15</v>
      </c>
      <c r="F148" s="13"/>
    </row>
    <row r="149" spans="1:6" x14ac:dyDescent="0.3">
      <c r="A149" s="21">
        <v>46092</v>
      </c>
      <c r="B149" s="13" t="s">
        <v>792</v>
      </c>
      <c r="C149" s="13" t="s">
        <v>600</v>
      </c>
      <c r="D149" s="13" t="s">
        <v>793</v>
      </c>
      <c r="E149" s="14">
        <v>577419.27</v>
      </c>
      <c r="F149" s="13"/>
    </row>
    <row r="150" spans="1:6" x14ac:dyDescent="0.3">
      <c r="A150" s="21">
        <v>46092</v>
      </c>
      <c r="B150" s="13" t="s">
        <v>794</v>
      </c>
      <c r="C150" s="13" t="s">
        <v>600</v>
      </c>
      <c r="D150" s="13" t="s">
        <v>795</v>
      </c>
      <c r="E150" s="14">
        <v>978202.4</v>
      </c>
      <c r="F150" s="13"/>
    </row>
    <row r="151" spans="1:6" x14ac:dyDescent="0.3">
      <c r="A151" s="21">
        <v>46092</v>
      </c>
      <c r="B151" s="13" t="s">
        <v>796</v>
      </c>
      <c r="C151" s="13" t="s">
        <v>600</v>
      </c>
      <c r="D151" s="13"/>
      <c r="E151" s="13"/>
      <c r="F151" s="14">
        <v>4500000</v>
      </c>
    </row>
    <row r="152" spans="1:6" x14ac:dyDescent="0.3">
      <c r="A152" s="21">
        <v>46092</v>
      </c>
      <c r="B152" s="13" t="s">
        <v>797</v>
      </c>
      <c r="C152" s="13" t="s">
        <v>600</v>
      </c>
      <c r="D152" s="13" t="s">
        <v>798</v>
      </c>
      <c r="E152" s="14">
        <v>565773.06999999995</v>
      </c>
      <c r="F152" s="13"/>
    </row>
    <row r="153" spans="1:6" x14ac:dyDescent="0.3">
      <c r="A153" s="21">
        <v>46092</v>
      </c>
      <c r="B153" s="13" t="s">
        <v>799</v>
      </c>
      <c r="C153" s="13" t="s">
        <v>600</v>
      </c>
      <c r="D153" s="13"/>
      <c r="E153" s="14">
        <v>10485.64</v>
      </c>
      <c r="F153" s="13"/>
    </row>
    <row r="154" spans="1:6" x14ac:dyDescent="0.3">
      <c r="A154" s="21">
        <v>46092</v>
      </c>
      <c r="B154" s="13" t="s">
        <v>799</v>
      </c>
      <c r="C154" s="13" t="s">
        <v>600</v>
      </c>
      <c r="D154" s="13"/>
      <c r="E154" s="14">
        <v>123679.1</v>
      </c>
      <c r="F154" s="13"/>
    </row>
    <row r="155" spans="1:6" x14ac:dyDescent="0.3">
      <c r="A155" s="21">
        <v>46093</v>
      </c>
      <c r="B155" s="13" t="s">
        <v>800</v>
      </c>
      <c r="C155" s="13" t="s">
        <v>600</v>
      </c>
      <c r="D155" s="13"/>
      <c r="E155" s="13"/>
      <c r="F155" s="14">
        <v>902000</v>
      </c>
    </row>
    <row r="156" spans="1:6" x14ac:dyDescent="0.3">
      <c r="A156" s="21">
        <v>46093</v>
      </c>
      <c r="B156" s="13" t="s">
        <v>801</v>
      </c>
      <c r="C156" s="13" t="s">
        <v>600</v>
      </c>
      <c r="D156" s="13"/>
      <c r="E156" s="13"/>
      <c r="F156" s="14">
        <v>210267.75</v>
      </c>
    </row>
    <row r="157" spans="1:6" x14ac:dyDescent="0.3">
      <c r="A157" s="21">
        <v>46093</v>
      </c>
      <c r="B157" s="13" t="s">
        <v>802</v>
      </c>
      <c r="C157" s="13" t="s">
        <v>600</v>
      </c>
      <c r="D157" s="13"/>
      <c r="E157" s="13"/>
      <c r="F157" s="14">
        <v>49965.71</v>
      </c>
    </row>
    <row r="158" spans="1:6" x14ac:dyDescent="0.3">
      <c r="A158" s="21">
        <v>46093</v>
      </c>
      <c r="B158" s="13" t="s">
        <v>803</v>
      </c>
      <c r="C158" s="13" t="s">
        <v>600</v>
      </c>
      <c r="D158" s="13"/>
      <c r="E158" s="13"/>
      <c r="F158" s="14">
        <v>1436365.77</v>
      </c>
    </row>
    <row r="159" spans="1:6" x14ac:dyDescent="0.3">
      <c r="A159" s="21">
        <v>46093</v>
      </c>
      <c r="B159" s="13" t="s">
        <v>804</v>
      </c>
      <c r="C159" s="13" t="s">
        <v>600</v>
      </c>
      <c r="D159" s="13"/>
      <c r="E159" s="13"/>
      <c r="F159" s="14">
        <v>623535.93000000005</v>
      </c>
    </row>
    <row r="160" spans="1:6" x14ac:dyDescent="0.3">
      <c r="A160" s="21">
        <v>46093</v>
      </c>
      <c r="B160" s="13" t="s">
        <v>805</v>
      </c>
      <c r="C160" s="13" t="s">
        <v>600</v>
      </c>
      <c r="D160" s="13"/>
      <c r="E160" s="13"/>
      <c r="F160" s="14">
        <v>490959.39</v>
      </c>
    </row>
    <row r="161" spans="1:6" x14ac:dyDescent="0.3">
      <c r="A161" s="21">
        <v>46093</v>
      </c>
      <c r="B161" s="13" t="s">
        <v>806</v>
      </c>
      <c r="C161" s="13" t="s">
        <v>600</v>
      </c>
      <c r="D161" s="13"/>
      <c r="E161" s="13"/>
      <c r="F161" s="14">
        <v>487018.92</v>
      </c>
    </row>
    <row r="162" spans="1:6" x14ac:dyDescent="0.3">
      <c r="A162" s="21">
        <v>46093</v>
      </c>
      <c r="B162" s="13" t="s">
        <v>807</v>
      </c>
      <c r="C162" s="13" t="s">
        <v>600</v>
      </c>
      <c r="D162" s="13"/>
      <c r="E162" s="13"/>
      <c r="F162" s="14">
        <v>500000</v>
      </c>
    </row>
    <row r="163" spans="1:6" x14ac:dyDescent="0.3">
      <c r="A163" s="21">
        <v>46093</v>
      </c>
      <c r="B163" s="13" t="s">
        <v>808</v>
      </c>
      <c r="C163" s="13" t="s">
        <v>600</v>
      </c>
      <c r="D163" s="13"/>
      <c r="E163" s="14">
        <v>1000000</v>
      </c>
      <c r="F163" s="13"/>
    </row>
    <row r="164" spans="1:6" x14ac:dyDescent="0.3">
      <c r="A164" s="21">
        <v>46093</v>
      </c>
      <c r="B164" s="13" t="s">
        <v>809</v>
      </c>
      <c r="C164" s="13" t="s">
        <v>600</v>
      </c>
      <c r="D164" s="13" t="s">
        <v>810</v>
      </c>
      <c r="E164" s="14">
        <v>2096323.89</v>
      </c>
      <c r="F164" s="13"/>
    </row>
    <row r="165" spans="1:6" x14ac:dyDescent="0.3">
      <c r="A165" s="21">
        <v>46093</v>
      </c>
      <c r="B165" s="13" t="s">
        <v>811</v>
      </c>
      <c r="C165" s="13" t="s">
        <v>600</v>
      </c>
      <c r="D165" s="13" t="s">
        <v>812</v>
      </c>
      <c r="E165" s="14">
        <v>225324.19</v>
      </c>
      <c r="F165" s="13"/>
    </row>
    <row r="166" spans="1:6" x14ac:dyDescent="0.3">
      <c r="A166" s="21">
        <v>46093</v>
      </c>
      <c r="B166" s="13" t="s">
        <v>813</v>
      </c>
      <c r="C166" s="13" t="s">
        <v>600</v>
      </c>
      <c r="D166" s="13" t="s">
        <v>814</v>
      </c>
      <c r="E166" s="14">
        <v>186936.66</v>
      </c>
      <c r="F166" s="13"/>
    </row>
    <row r="167" spans="1:6" x14ac:dyDescent="0.3">
      <c r="A167" s="21">
        <v>46093</v>
      </c>
      <c r="B167" s="13" t="s">
        <v>815</v>
      </c>
      <c r="C167" s="13" t="s">
        <v>600</v>
      </c>
      <c r="D167" s="13" t="s">
        <v>816</v>
      </c>
      <c r="E167" s="14">
        <v>10786.55</v>
      </c>
      <c r="F167" s="13"/>
    </row>
    <row r="168" spans="1:6" x14ac:dyDescent="0.3">
      <c r="A168" s="21">
        <v>46093</v>
      </c>
      <c r="B168" s="13" t="s">
        <v>817</v>
      </c>
      <c r="C168" s="13" t="s">
        <v>600</v>
      </c>
      <c r="D168" s="13" t="s">
        <v>818</v>
      </c>
      <c r="E168" s="14">
        <v>3034757.92</v>
      </c>
      <c r="F168" s="13"/>
    </row>
    <row r="169" spans="1:6" x14ac:dyDescent="0.3">
      <c r="A169" s="21">
        <v>46093</v>
      </c>
      <c r="B169" s="13" t="s">
        <v>819</v>
      </c>
      <c r="C169" s="13" t="s">
        <v>600</v>
      </c>
      <c r="D169" s="13" t="s">
        <v>820</v>
      </c>
      <c r="E169" s="14">
        <v>1269139.2</v>
      </c>
      <c r="F169" s="13"/>
    </row>
    <row r="170" spans="1:6" x14ac:dyDescent="0.3">
      <c r="A170" s="21">
        <v>46093</v>
      </c>
      <c r="B170" s="13" t="s">
        <v>821</v>
      </c>
      <c r="C170" s="13" t="s">
        <v>600</v>
      </c>
      <c r="D170" s="13" t="s">
        <v>822</v>
      </c>
      <c r="E170" s="14">
        <v>998082.4</v>
      </c>
      <c r="F170" s="13"/>
    </row>
    <row r="171" spans="1:6" x14ac:dyDescent="0.3">
      <c r="A171" s="21">
        <v>46093</v>
      </c>
      <c r="B171" s="13" t="s">
        <v>823</v>
      </c>
      <c r="C171" s="13" t="s">
        <v>600</v>
      </c>
      <c r="D171" s="13" t="s">
        <v>824</v>
      </c>
      <c r="E171" s="14">
        <v>1744696.39</v>
      </c>
      <c r="F171" s="13"/>
    </row>
    <row r="172" spans="1:6" x14ac:dyDescent="0.3">
      <c r="A172" s="21">
        <v>46093</v>
      </c>
      <c r="B172" s="13" t="s">
        <v>825</v>
      </c>
      <c r="C172" s="13" t="s">
        <v>600</v>
      </c>
      <c r="D172" s="13" t="s">
        <v>826</v>
      </c>
      <c r="E172" s="14">
        <v>764504.94</v>
      </c>
      <c r="F172" s="13"/>
    </row>
    <row r="173" spans="1:6" x14ac:dyDescent="0.3">
      <c r="A173" s="21">
        <v>46093</v>
      </c>
      <c r="B173" s="13" t="s">
        <v>827</v>
      </c>
      <c r="C173" s="13" t="s">
        <v>600</v>
      </c>
      <c r="D173" s="13"/>
      <c r="E173" s="13"/>
      <c r="F173" s="14">
        <v>11000000</v>
      </c>
    </row>
    <row r="174" spans="1:6" x14ac:dyDescent="0.3">
      <c r="A174" s="21">
        <v>46093</v>
      </c>
      <c r="B174" s="13" t="s">
        <v>828</v>
      </c>
      <c r="C174" s="13" t="s">
        <v>600</v>
      </c>
      <c r="D174" s="13" t="s">
        <v>829</v>
      </c>
      <c r="E174" s="14">
        <v>3419538.53</v>
      </c>
      <c r="F174" s="13"/>
    </row>
    <row r="175" spans="1:6" x14ac:dyDescent="0.3">
      <c r="A175" s="21">
        <v>46093</v>
      </c>
      <c r="B175" s="13" t="s">
        <v>830</v>
      </c>
      <c r="C175" s="13" t="s">
        <v>600</v>
      </c>
      <c r="D175" s="13" t="s">
        <v>831</v>
      </c>
      <c r="E175" s="14">
        <v>276038.2</v>
      </c>
      <c r="F175" s="13"/>
    </row>
    <row r="176" spans="1:6" x14ac:dyDescent="0.3">
      <c r="A176" s="21">
        <v>46093</v>
      </c>
      <c r="B176" s="13" t="s">
        <v>832</v>
      </c>
      <c r="C176" s="13" t="s">
        <v>600</v>
      </c>
      <c r="D176" s="13"/>
      <c r="E176" s="14">
        <v>719644.91</v>
      </c>
      <c r="F176" s="13"/>
    </row>
    <row r="177" spans="1:6" x14ac:dyDescent="0.3">
      <c r="A177" s="21">
        <v>46093</v>
      </c>
      <c r="B177" s="13" t="s">
        <v>832</v>
      </c>
      <c r="C177" s="13" t="s">
        <v>600</v>
      </c>
      <c r="D177" s="13"/>
      <c r="E177" s="14">
        <v>163586.94</v>
      </c>
      <c r="F177" s="13"/>
    </row>
    <row r="178" spans="1:6" x14ac:dyDescent="0.3">
      <c r="A178" s="21">
        <v>46093</v>
      </c>
      <c r="B178" s="13" t="s">
        <v>833</v>
      </c>
      <c r="C178" s="13" t="s">
        <v>600</v>
      </c>
      <c r="D178" s="13" t="s">
        <v>834</v>
      </c>
      <c r="E178" s="14">
        <v>3189352.5</v>
      </c>
      <c r="F178" s="13"/>
    </row>
    <row r="179" spans="1:6" x14ac:dyDescent="0.3">
      <c r="A179" s="21">
        <v>46094</v>
      </c>
      <c r="B179" s="13" t="s">
        <v>835</v>
      </c>
      <c r="C179" s="13" t="s">
        <v>600</v>
      </c>
      <c r="D179" s="13" t="s">
        <v>836</v>
      </c>
      <c r="E179" s="14">
        <v>17194.12</v>
      </c>
      <c r="F179" s="13"/>
    </row>
    <row r="180" spans="1:6" x14ac:dyDescent="0.3">
      <c r="A180" s="21">
        <v>46094</v>
      </c>
      <c r="B180" s="13" t="s">
        <v>837</v>
      </c>
      <c r="C180" s="13" t="s">
        <v>600</v>
      </c>
      <c r="D180" s="13" t="s">
        <v>838</v>
      </c>
      <c r="E180" s="14">
        <v>204941.66</v>
      </c>
      <c r="F180" s="13"/>
    </row>
    <row r="181" spans="1:6" x14ac:dyDescent="0.3">
      <c r="A181" s="21">
        <v>46094</v>
      </c>
      <c r="B181" s="13" t="s">
        <v>837</v>
      </c>
      <c r="C181" s="13" t="s">
        <v>600</v>
      </c>
      <c r="D181" s="13" t="s">
        <v>839</v>
      </c>
      <c r="E181" s="14">
        <v>1036888</v>
      </c>
      <c r="F181" s="13"/>
    </row>
    <row r="182" spans="1:6" x14ac:dyDescent="0.3">
      <c r="A182" s="21">
        <v>46094</v>
      </c>
      <c r="B182" s="13" t="s">
        <v>837</v>
      </c>
      <c r="C182" s="13" t="s">
        <v>600</v>
      </c>
      <c r="D182" s="13" t="s">
        <v>840</v>
      </c>
      <c r="E182" s="14">
        <v>30300.71</v>
      </c>
      <c r="F182" s="13"/>
    </row>
    <row r="183" spans="1:6" x14ac:dyDescent="0.3">
      <c r="A183" s="21">
        <v>46094</v>
      </c>
      <c r="B183" s="13" t="s">
        <v>841</v>
      </c>
      <c r="C183" s="13" t="s">
        <v>600</v>
      </c>
      <c r="D183" s="13"/>
      <c r="E183" s="13"/>
      <c r="F183" s="14">
        <v>6000000</v>
      </c>
    </row>
    <row r="184" spans="1:6" x14ac:dyDescent="0.3">
      <c r="A184" s="21">
        <v>46094</v>
      </c>
      <c r="B184" s="13" t="s">
        <v>842</v>
      </c>
      <c r="C184" s="13" t="s">
        <v>600</v>
      </c>
      <c r="D184" s="13" t="s">
        <v>843</v>
      </c>
      <c r="E184" s="14">
        <v>72926.7</v>
      </c>
      <c r="F184" s="13"/>
    </row>
    <row r="185" spans="1:6" x14ac:dyDescent="0.3">
      <c r="A185" s="21">
        <v>46094</v>
      </c>
      <c r="B185" s="13" t="s">
        <v>844</v>
      </c>
      <c r="C185" s="13" t="s">
        <v>600</v>
      </c>
      <c r="D185" s="13" t="s">
        <v>843</v>
      </c>
      <c r="E185" s="14">
        <v>15441</v>
      </c>
      <c r="F185" s="13"/>
    </row>
    <row r="186" spans="1:6" x14ac:dyDescent="0.3">
      <c r="A186" s="21">
        <v>46094</v>
      </c>
      <c r="B186" s="13" t="s">
        <v>845</v>
      </c>
      <c r="C186" s="13" t="s">
        <v>600</v>
      </c>
      <c r="D186" s="13" t="s">
        <v>846</v>
      </c>
      <c r="E186" s="14">
        <v>1592299.5</v>
      </c>
      <c r="F186" s="13"/>
    </row>
    <row r="187" spans="1:6" x14ac:dyDescent="0.3">
      <c r="A187" s="21">
        <v>46094</v>
      </c>
      <c r="B187" s="13" t="s">
        <v>847</v>
      </c>
      <c r="C187" s="13" t="s">
        <v>600</v>
      </c>
      <c r="D187" s="13" t="s">
        <v>848</v>
      </c>
      <c r="E187" s="14">
        <v>463200</v>
      </c>
      <c r="F187" s="13"/>
    </row>
    <row r="188" spans="1:6" x14ac:dyDescent="0.3">
      <c r="A188" s="21">
        <v>46094</v>
      </c>
      <c r="B188" s="13" t="s">
        <v>849</v>
      </c>
      <c r="C188" s="13" t="s">
        <v>600</v>
      </c>
      <c r="D188" s="13" t="s">
        <v>850</v>
      </c>
      <c r="E188" s="14">
        <v>685989.93</v>
      </c>
      <c r="F188" s="13"/>
    </row>
    <row r="189" spans="1:6" x14ac:dyDescent="0.3">
      <c r="A189" s="21">
        <v>46094</v>
      </c>
      <c r="B189" s="13" t="s">
        <v>851</v>
      </c>
      <c r="C189" s="13" t="s">
        <v>600</v>
      </c>
      <c r="D189" s="13" t="s">
        <v>852</v>
      </c>
      <c r="E189" s="14">
        <v>326369.75</v>
      </c>
      <c r="F189" s="13"/>
    </row>
    <row r="190" spans="1:6" x14ac:dyDescent="0.3">
      <c r="A190" s="21">
        <v>46094</v>
      </c>
      <c r="B190" s="13" t="s">
        <v>853</v>
      </c>
      <c r="C190" s="13" t="s">
        <v>600</v>
      </c>
      <c r="D190" s="13" t="s">
        <v>854</v>
      </c>
      <c r="E190" s="14">
        <v>663142.12</v>
      </c>
      <c r="F190" s="13"/>
    </row>
    <row r="191" spans="1:6" x14ac:dyDescent="0.3">
      <c r="A191" s="21">
        <v>46094</v>
      </c>
      <c r="B191" s="13" t="s">
        <v>855</v>
      </c>
      <c r="C191" s="13" t="s">
        <v>600</v>
      </c>
      <c r="D191" s="13" t="s">
        <v>856</v>
      </c>
      <c r="E191" s="14">
        <v>4881.68</v>
      </c>
      <c r="F191" s="13"/>
    </row>
    <row r="192" spans="1:6" x14ac:dyDescent="0.3">
      <c r="A192" s="21">
        <v>46094</v>
      </c>
      <c r="B192" s="13" t="s">
        <v>857</v>
      </c>
      <c r="C192" s="13" t="s">
        <v>600</v>
      </c>
      <c r="D192" s="13"/>
      <c r="E192" s="14">
        <v>3000000</v>
      </c>
      <c r="F192" s="13"/>
    </row>
    <row r="193" spans="1:6" x14ac:dyDescent="0.3">
      <c r="A193" s="21">
        <v>46094</v>
      </c>
      <c r="B193" s="13" t="s">
        <v>858</v>
      </c>
      <c r="C193" s="13" t="s">
        <v>600</v>
      </c>
      <c r="D193" s="13"/>
      <c r="E193" s="13"/>
      <c r="F193" s="14">
        <v>4713252.5</v>
      </c>
    </row>
    <row r="194" spans="1:6" x14ac:dyDescent="0.3">
      <c r="A194" s="21">
        <v>46094</v>
      </c>
      <c r="B194" s="13" t="s">
        <v>859</v>
      </c>
      <c r="C194" s="13" t="s">
        <v>600</v>
      </c>
      <c r="D194" s="13"/>
      <c r="E194" s="14">
        <v>144791.23000000001</v>
      </c>
      <c r="F194" s="13"/>
    </row>
    <row r="195" spans="1:6" x14ac:dyDescent="0.3">
      <c r="A195" s="21">
        <v>46094</v>
      </c>
      <c r="B195" s="13" t="s">
        <v>859</v>
      </c>
      <c r="C195" s="13" t="s">
        <v>600</v>
      </c>
      <c r="D195" s="13"/>
      <c r="E195" s="14">
        <v>16740.099999999999</v>
      </c>
      <c r="F195" s="13"/>
    </row>
    <row r="196" spans="1:6" x14ac:dyDescent="0.3">
      <c r="A196" s="21">
        <v>46097</v>
      </c>
      <c r="B196" s="13" t="s">
        <v>860</v>
      </c>
      <c r="C196" s="13" t="s">
        <v>600</v>
      </c>
      <c r="D196" s="13" t="s">
        <v>861</v>
      </c>
      <c r="E196" s="14">
        <v>118943</v>
      </c>
      <c r="F196" s="13"/>
    </row>
    <row r="197" spans="1:6" x14ac:dyDescent="0.3">
      <c r="A197" s="21">
        <v>46097</v>
      </c>
      <c r="B197" s="13" t="s">
        <v>862</v>
      </c>
      <c r="C197" s="13" t="s">
        <v>600</v>
      </c>
      <c r="D197" s="13" t="s">
        <v>852</v>
      </c>
      <c r="E197" s="14">
        <v>19241</v>
      </c>
      <c r="F197" s="13"/>
    </row>
    <row r="198" spans="1:6" x14ac:dyDescent="0.3">
      <c r="A198" s="21">
        <v>46097</v>
      </c>
      <c r="B198" s="13" t="s">
        <v>863</v>
      </c>
      <c r="C198" s="13" t="s">
        <v>600</v>
      </c>
      <c r="D198" s="13" t="s">
        <v>864</v>
      </c>
      <c r="E198" s="14">
        <v>874702.13</v>
      </c>
      <c r="F198" s="13"/>
    </row>
    <row r="199" spans="1:6" x14ac:dyDescent="0.3">
      <c r="A199" s="21">
        <v>46097</v>
      </c>
      <c r="B199" s="13" t="s">
        <v>865</v>
      </c>
      <c r="C199" s="13" t="s">
        <v>600</v>
      </c>
      <c r="D199" s="13"/>
      <c r="E199" s="13"/>
      <c r="F199" s="14">
        <v>95216.62</v>
      </c>
    </row>
    <row r="200" spans="1:6" x14ac:dyDescent="0.3">
      <c r="A200" s="21">
        <v>46097</v>
      </c>
      <c r="B200" s="13" t="s">
        <v>866</v>
      </c>
      <c r="C200" s="13" t="s">
        <v>600</v>
      </c>
      <c r="D200" s="13" t="s">
        <v>867</v>
      </c>
      <c r="E200" s="14">
        <v>10824.66</v>
      </c>
      <c r="F200" s="13"/>
    </row>
    <row r="201" spans="1:6" x14ac:dyDescent="0.3">
      <c r="A201" s="21">
        <v>46097</v>
      </c>
      <c r="B201" s="13" t="s">
        <v>868</v>
      </c>
      <c r="C201" s="13" t="s">
        <v>600</v>
      </c>
      <c r="D201" s="13"/>
      <c r="E201" s="14">
        <v>258192.72</v>
      </c>
      <c r="F201" s="13"/>
    </row>
    <row r="202" spans="1:6" x14ac:dyDescent="0.3">
      <c r="A202" s="21">
        <v>46097</v>
      </c>
      <c r="B202" s="13" t="s">
        <v>868</v>
      </c>
      <c r="C202" s="13" t="s">
        <v>600</v>
      </c>
      <c r="D202" s="13"/>
      <c r="E202" s="14">
        <v>667562</v>
      </c>
      <c r="F202" s="13"/>
    </row>
    <row r="203" spans="1:6" x14ac:dyDescent="0.3">
      <c r="A203" s="21">
        <v>46097</v>
      </c>
      <c r="B203" s="13" t="s">
        <v>869</v>
      </c>
      <c r="C203" s="13" t="s">
        <v>600</v>
      </c>
      <c r="D203" s="13"/>
      <c r="E203" s="13"/>
      <c r="F203" s="14">
        <v>301511.90999999997</v>
      </c>
    </row>
    <row r="204" spans="1:6" x14ac:dyDescent="0.3">
      <c r="A204" s="21">
        <v>46097</v>
      </c>
      <c r="B204" s="13" t="s">
        <v>870</v>
      </c>
      <c r="C204" s="13" t="s">
        <v>600</v>
      </c>
      <c r="D204" s="13"/>
      <c r="E204" s="13"/>
      <c r="F204" s="14">
        <v>524468.05000000005</v>
      </c>
    </row>
    <row r="205" spans="1:6" x14ac:dyDescent="0.3">
      <c r="A205" s="21">
        <v>46097</v>
      </c>
      <c r="B205" s="13" t="s">
        <v>871</v>
      </c>
      <c r="C205" s="13" t="s">
        <v>600</v>
      </c>
      <c r="D205" s="13"/>
      <c r="E205" s="13"/>
      <c r="F205" s="14">
        <v>364826.34</v>
      </c>
    </row>
    <row r="206" spans="1:6" x14ac:dyDescent="0.3">
      <c r="A206" s="21">
        <v>46097</v>
      </c>
      <c r="B206" s="13" t="s">
        <v>872</v>
      </c>
      <c r="C206" s="13" t="s">
        <v>600</v>
      </c>
      <c r="D206" s="13"/>
      <c r="E206" s="13"/>
      <c r="F206" s="14">
        <v>1214855.04</v>
      </c>
    </row>
    <row r="207" spans="1:6" x14ac:dyDescent="0.3">
      <c r="A207" s="21">
        <v>46098</v>
      </c>
      <c r="B207" s="13" t="s">
        <v>873</v>
      </c>
      <c r="C207" s="13" t="s">
        <v>600</v>
      </c>
      <c r="D207" s="13"/>
      <c r="E207" s="13"/>
      <c r="F207" s="14">
        <v>306702.27</v>
      </c>
    </row>
    <row r="208" spans="1:6" x14ac:dyDescent="0.3">
      <c r="A208" s="21">
        <v>46098</v>
      </c>
      <c r="B208" s="13" t="s">
        <v>874</v>
      </c>
      <c r="C208" s="13" t="s">
        <v>600</v>
      </c>
      <c r="D208" s="13"/>
      <c r="E208" s="13"/>
      <c r="F208" s="14">
        <v>60376.45</v>
      </c>
    </row>
    <row r="209" spans="1:6" x14ac:dyDescent="0.3">
      <c r="A209" s="21">
        <v>46098</v>
      </c>
      <c r="B209" s="13" t="s">
        <v>875</v>
      </c>
      <c r="C209" s="13" t="s">
        <v>600</v>
      </c>
      <c r="D209" s="13"/>
      <c r="E209" s="13"/>
      <c r="F209" s="14">
        <v>70500</v>
      </c>
    </row>
    <row r="210" spans="1:6" x14ac:dyDescent="0.3">
      <c r="A210" s="21">
        <v>46098</v>
      </c>
      <c r="B210" s="13" t="s">
        <v>876</v>
      </c>
      <c r="C210" s="13" t="s">
        <v>600</v>
      </c>
      <c r="D210" s="13"/>
      <c r="E210" s="13"/>
      <c r="F210" s="14">
        <v>113843.8</v>
      </c>
    </row>
    <row r="211" spans="1:6" x14ac:dyDescent="0.3">
      <c r="A211" s="21">
        <v>46098</v>
      </c>
      <c r="B211" s="13" t="s">
        <v>877</v>
      </c>
      <c r="C211" s="13" t="s">
        <v>600</v>
      </c>
      <c r="D211" s="13"/>
      <c r="E211" s="13"/>
      <c r="F211" s="14">
        <v>25000</v>
      </c>
    </row>
    <row r="212" spans="1:6" x14ac:dyDescent="0.3">
      <c r="A212" s="21">
        <v>46098</v>
      </c>
      <c r="B212" s="13" t="s">
        <v>878</v>
      </c>
      <c r="C212" s="13" t="s">
        <v>600</v>
      </c>
      <c r="D212" s="13"/>
      <c r="E212" s="14">
        <v>7000000</v>
      </c>
      <c r="F212" s="13"/>
    </row>
    <row r="213" spans="1:6" x14ac:dyDescent="0.3">
      <c r="A213" s="21">
        <v>46098</v>
      </c>
      <c r="B213" s="13" t="s">
        <v>879</v>
      </c>
      <c r="C213" s="13" t="s">
        <v>600</v>
      </c>
      <c r="D213" s="13" t="s">
        <v>880</v>
      </c>
      <c r="E213" s="14">
        <v>747851.08</v>
      </c>
      <c r="F213" s="13"/>
    </row>
    <row r="214" spans="1:6" x14ac:dyDescent="0.3">
      <c r="A214" s="21">
        <v>46098</v>
      </c>
      <c r="B214" s="13" t="s">
        <v>881</v>
      </c>
      <c r="C214" s="13" t="s">
        <v>600</v>
      </c>
      <c r="D214" s="13" t="s">
        <v>882</v>
      </c>
      <c r="E214" s="14">
        <v>120730.65</v>
      </c>
      <c r="F214" s="13"/>
    </row>
    <row r="215" spans="1:6" x14ac:dyDescent="0.3">
      <c r="A215" s="21">
        <v>46098</v>
      </c>
      <c r="B215" s="13" t="s">
        <v>883</v>
      </c>
      <c r="C215" s="13" t="s">
        <v>600</v>
      </c>
      <c r="D215" s="13" t="s">
        <v>884</v>
      </c>
      <c r="E215" s="14">
        <v>83336.3</v>
      </c>
      <c r="F215" s="13"/>
    </row>
    <row r="216" spans="1:6" x14ac:dyDescent="0.3">
      <c r="A216" s="21">
        <v>46098</v>
      </c>
      <c r="B216" s="13" t="s">
        <v>885</v>
      </c>
      <c r="C216" s="13" t="s">
        <v>600</v>
      </c>
      <c r="D216" s="13" t="s">
        <v>886</v>
      </c>
      <c r="E216" s="14">
        <v>32915.57</v>
      </c>
      <c r="F216" s="13"/>
    </row>
    <row r="217" spans="1:6" x14ac:dyDescent="0.3">
      <c r="A217" s="21">
        <v>46098</v>
      </c>
      <c r="B217" s="13" t="s">
        <v>887</v>
      </c>
      <c r="C217" s="13" t="s">
        <v>600</v>
      </c>
      <c r="D217" s="13" t="s">
        <v>888</v>
      </c>
      <c r="E217" s="14">
        <v>773782.85</v>
      </c>
      <c r="F217" s="13"/>
    </row>
    <row r="218" spans="1:6" x14ac:dyDescent="0.3">
      <c r="A218" s="21">
        <v>46098</v>
      </c>
      <c r="B218" s="13" t="s">
        <v>889</v>
      </c>
      <c r="C218" s="13" t="s">
        <v>600</v>
      </c>
      <c r="D218" s="13" t="s">
        <v>890</v>
      </c>
      <c r="E218" s="14">
        <v>28476.48</v>
      </c>
      <c r="F218" s="13"/>
    </row>
    <row r="219" spans="1:6" x14ac:dyDescent="0.3">
      <c r="A219" s="21">
        <v>46098</v>
      </c>
      <c r="B219" s="13" t="s">
        <v>891</v>
      </c>
      <c r="C219" s="13" t="s">
        <v>600</v>
      </c>
      <c r="D219" s="13"/>
      <c r="E219" s="13"/>
      <c r="F219" s="14">
        <v>20269.8</v>
      </c>
    </row>
    <row r="220" spans="1:6" x14ac:dyDescent="0.3">
      <c r="A220" s="21">
        <v>46098</v>
      </c>
      <c r="B220" s="13" t="s">
        <v>892</v>
      </c>
      <c r="C220" s="13" t="s">
        <v>600</v>
      </c>
      <c r="D220" s="13" t="s">
        <v>893</v>
      </c>
      <c r="E220" s="14">
        <v>532223.94999999995</v>
      </c>
      <c r="F220" s="13"/>
    </row>
    <row r="221" spans="1:6" x14ac:dyDescent="0.3">
      <c r="A221" s="21">
        <v>46098</v>
      </c>
      <c r="B221" s="13" t="s">
        <v>894</v>
      </c>
      <c r="C221" s="13" t="s">
        <v>600</v>
      </c>
      <c r="D221" s="13"/>
      <c r="E221" s="14">
        <v>20963.04</v>
      </c>
      <c r="F221" s="13"/>
    </row>
    <row r="222" spans="1:6" x14ac:dyDescent="0.3">
      <c r="A222" s="21">
        <v>46098</v>
      </c>
      <c r="B222" s="13" t="s">
        <v>894</v>
      </c>
      <c r="C222" s="13" t="s">
        <v>600</v>
      </c>
      <c r="D222" s="13"/>
      <c r="E222" s="14">
        <v>17190.939999999999</v>
      </c>
      <c r="F222" s="13"/>
    </row>
    <row r="223" spans="1:6" x14ac:dyDescent="0.3">
      <c r="A223" s="21">
        <v>46098</v>
      </c>
      <c r="B223" s="13" t="s">
        <v>895</v>
      </c>
      <c r="C223" s="13" t="s">
        <v>600</v>
      </c>
      <c r="D223" s="13" t="s">
        <v>896</v>
      </c>
      <c r="E223" s="14">
        <v>184531.62</v>
      </c>
      <c r="F223" s="13"/>
    </row>
    <row r="224" spans="1:6" x14ac:dyDescent="0.3">
      <c r="A224" s="21">
        <v>46098</v>
      </c>
      <c r="B224" s="13" t="s">
        <v>897</v>
      </c>
      <c r="C224" s="13" t="s">
        <v>600</v>
      </c>
      <c r="D224" s="13" t="s">
        <v>898</v>
      </c>
      <c r="E224" s="14">
        <v>5126856.55</v>
      </c>
      <c r="F224" s="13"/>
    </row>
    <row r="225" spans="1:6" x14ac:dyDescent="0.3">
      <c r="A225" s="21">
        <v>46098</v>
      </c>
      <c r="B225" s="13" t="s">
        <v>899</v>
      </c>
      <c r="C225" s="13" t="s">
        <v>600</v>
      </c>
      <c r="D225" s="13" t="s">
        <v>900</v>
      </c>
      <c r="E225" s="14">
        <v>50000</v>
      </c>
      <c r="F225" s="13"/>
    </row>
    <row r="226" spans="1:6" x14ac:dyDescent="0.3">
      <c r="A226" s="21">
        <v>46099</v>
      </c>
      <c r="B226" s="13" t="s">
        <v>901</v>
      </c>
      <c r="C226" s="13" t="s">
        <v>600</v>
      </c>
      <c r="D226" s="13"/>
      <c r="E226" s="13"/>
      <c r="F226" s="14">
        <v>1607238.36</v>
      </c>
    </row>
    <row r="227" spans="1:6" x14ac:dyDescent="0.3">
      <c r="A227" s="21">
        <v>46099</v>
      </c>
      <c r="B227" s="13" t="s">
        <v>902</v>
      </c>
      <c r="C227" s="13" t="s">
        <v>600</v>
      </c>
      <c r="D227" s="13"/>
      <c r="E227" s="13"/>
      <c r="F227" s="14">
        <v>11000000</v>
      </c>
    </row>
    <row r="228" spans="1:6" x14ac:dyDescent="0.3">
      <c r="A228" s="21">
        <v>46099</v>
      </c>
      <c r="B228" s="13" t="s">
        <v>903</v>
      </c>
      <c r="C228" s="13" t="s">
        <v>600</v>
      </c>
      <c r="D228" s="13"/>
      <c r="E228" s="13"/>
      <c r="F228" s="14">
        <v>450000</v>
      </c>
    </row>
    <row r="229" spans="1:6" x14ac:dyDescent="0.3">
      <c r="A229" s="21">
        <v>46099</v>
      </c>
      <c r="B229" s="13" t="s">
        <v>904</v>
      </c>
      <c r="C229" s="13" t="s">
        <v>600</v>
      </c>
      <c r="D229" s="13" t="s">
        <v>905</v>
      </c>
      <c r="E229" s="14">
        <v>1252079.22</v>
      </c>
      <c r="F229" s="13"/>
    </row>
    <row r="230" spans="1:6" x14ac:dyDescent="0.3">
      <c r="A230" s="21">
        <v>46099</v>
      </c>
      <c r="B230" s="13" t="s">
        <v>906</v>
      </c>
      <c r="C230" s="13" t="s">
        <v>600</v>
      </c>
      <c r="D230" s="13" t="s">
        <v>907</v>
      </c>
      <c r="E230" s="14">
        <v>393794.5</v>
      </c>
      <c r="F230" s="13"/>
    </row>
    <row r="231" spans="1:6" x14ac:dyDescent="0.3">
      <c r="A231" s="21">
        <v>46099</v>
      </c>
      <c r="B231" s="13" t="s">
        <v>908</v>
      </c>
      <c r="C231" s="13" t="s">
        <v>600</v>
      </c>
      <c r="D231" s="13" t="s">
        <v>909</v>
      </c>
      <c r="E231" s="14">
        <v>375371.2</v>
      </c>
      <c r="F231" s="13"/>
    </row>
    <row r="232" spans="1:6" x14ac:dyDescent="0.3">
      <c r="A232" s="21">
        <v>46099</v>
      </c>
      <c r="B232" s="13" t="s">
        <v>910</v>
      </c>
      <c r="C232" s="13" t="s">
        <v>600</v>
      </c>
      <c r="D232" s="13" t="s">
        <v>911</v>
      </c>
      <c r="E232" s="14">
        <v>85708.52</v>
      </c>
      <c r="F232" s="13"/>
    </row>
    <row r="233" spans="1:6" x14ac:dyDescent="0.3">
      <c r="A233" s="21">
        <v>46099</v>
      </c>
      <c r="B233" s="13" t="s">
        <v>912</v>
      </c>
      <c r="C233" s="13" t="s">
        <v>600</v>
      </c>
      <c r="D233" s="13" t="s">
        <v>913</v>
      </c>
      <c r="E233" s="14">
        <v>345543</v>
      </c>
      <c r="F233" s="13"/>
    </row>
    <row r="234" spans="1:6" x14ac:dyDescent="0.3">
      <c r="A234" s="21">
        <v>46099</v>
      </c>
      <c r="B234" s="13" t="s">
        <v>914</v>
      </c>
      <c r="C234" s="13" t="s">
        <v>600</v>
      </c>
      <c r="D234" s="13"/>
      <c r="E234" s="14">
        <v>265525.07</v>
      </c>
      <c r="F234" s="13"/>
    </row>
    <row r="235" spans="1:6" x14ac:dyDescent="0.3">
      <c r="A235" s="21">
        <v>46099</v>
      </c>
      <c r="B235" s="13" t="s">
        <v>914</v>
      </c>
      <c r="C235" s="13" t="s">
        <v>600</v>
      </c>
      <c r="D235" s="13"/>
      <c r="E235" s="14">
        <v>57973.91</v>
      </c>
      <c r="F235" s="13"/>
    </row>
    <row r="236" spans="1:6" x14ac:dyDescent="0.3">
      <c r="A236" s="21">
        <v>46100</v>
      </c>
      <c r="B236" s="13" t="s">
        <v>915</v>
      </c>
      <c r="C236" s="13" t="s">
        <v>600</v>
      </c>
      <c r="D236" s="13" t="s">
        <v>916</v>
      </c>
      <c r="E236" s="14">
        <v>292236</v>
      </c>
      <c r="F236" s="13"/>
    </row>
    <row r="237" spans="1:6" x14ac:dyDescent="0.3">
      <c r="A237" s="21">
        <v>46100</v>
      </c>
      <c r="B237" s="13" t="s">
        <v>917</v>
      </c>
      <c r="C237" s="13" t="s">
        <v>600</v>
      </c>
      <c r="D237" s="13"/>
      <c r="E237" s="13"/>
      <c r="F237" s="14">
        <v>500000</v>
      </c>
    </row>
    <row r="238" spans="1:6" x14ac:dyDescent="0.3">
      <c r="A238" s="21">
        <v>46100</v>
      </c>
      <c r="B238" s="13" t="s">
        <v>918</v>
      </c>
      <c r="C238" s="13" t="s">
        <v>600</v>
      </c>
      <c r="D238" s="13"/>
      <c r="E238" s="13"/>
      <c r="F238" s="14">
        <v>195570</v>
      </c>
    </row>
    <row r="239" spans="1:6" x14ac:dyDescent="0.3">
      <c r="A239" s="21">
        <v>46100</v>
      </c>
      <c r="B239" s="13" t="s">
        <v>919</v>
      </c>
      <c r="C239" s="13" t="s">
        <v>600</v>
      </c>
      <c r="D239" s="13"/>
      <c r="E239" s="13"/>
      <c r="F239" s="14">
        <v>104674.24000000001</v>
      </c>
    </row>
    <row r="240" spans="1:6" x14ac:dyDescent="0.3">
      <c r="A240" s="21">
        <v>46100</v>
      </c>
      <c r="B240" s="13" t="s">
        <v>920</v>
      </c>
      <c r="C240" s="13" t="s">
        <v>600</v>
      </c>
      <c r="D240" s="13"/>
      <c r="E240" s="13"/>
      <c r="F240" s="14">
        <v>181720</v>
      </c>
    </row>
    <row r="241" spans="1:6" x14ac:dyDescent="0.3">
      <c r="A241" s="21">
        <v>46100</v>
      </c>
      <c r="B241" s="13" t="s">
        <v>921</v>
      </c>
      <c r="C241" s="13" t="s">
        <v>600</v>
      </c>
      <c r="D241" s="13"/>
      <c r="E241" s="13"/>
      <c r="F241" s="14">
        <v>3623449.92</v>
      </c>
    </row>
    <row r="242" spans="1:6" x14ac:dyDescent="0.3">
      <c r="A242" s="21">
        <v>46100</v>
      </c>
      <c r="B242" s="13" t="s">
        <v>922</v>
      </c>
      <c r="C242" s="13" t="s">
        <v>600</v>
      </c>
      <c r="D242" s="13" t="s">
        <v>923</v>
      </c>
      <c r="E242" s="14">
        <v>64102.9</v>
      </c>
      <c r="F242" s="13"/>
    </row>
    <row r="243" spans="1:6" x14ac:dyDescent="0.3">
      <c r="A243" s="21">
        <v>46100</v>
      </c>
      <c r="B243" s="13" t="s">
        <v>924</v>
      </c>
      <c r="C243" s="13" t="s">
        <v>600</v>
      </c>
      <c r="D243" s="13" t="s">
        <v>925</v>
      </c>
      <c r="E243" s="14">
        <v>10794.93</v>
      </c>
      <c r="F243" s="13"/>
    </row>
    <row r="244" spans="1:6" x14ac:dyDescent="0.3">
      <c r="A244" s="21">
        <v>46100</v>
      </c>
      <c r="B244" s="13" t="s">
        <v>926</v>
      </c>
      <c r="C244" s="13" t="s">
        <v>600</v>
      </c>
      <c r="D244" s="13" t="s">
        <v>927</v>
      </c>
      <c r="E244" s="14">
        <v>302007</v>
      </c>
      <c r="F244" s="13"/>
    </row>
    <row r="245" spans="1:6" x14ac:dyDescent="0.3">
      <c r="A245" s="21">
        <v>46100</v>
      </c>
      <c r="B245" s="13" t="s">
        <v>928</v>
      </c>
      <c r="C245" s="13" t="s">
        <v>600</v>
      </c>
      <c r="D245" s="13" t="s">
        <v>929</v>
      </c>
      <c r="E245" s="14">
        <v>4261383.5199999996</v>
      </c>
      <c r="F245" s="13"/>
    </row>
    <row r="246" spans="1:6" x14ac:dyDescent="0.3">
      <c r="A246" s="21">
        <v>46100</v>
      </c>
      <c r="B246" s="13" t="s">
        <v>930</v>
      </c>
      <c r="C246" s="13" t="s">
        <v>600</v>
      </c>
      <c r="D246" s="13" t="s">
        <v>931</v>
      </c>
      <c r="E246" s="14">
        <v>36568.519999999997</v>
      </c>
      <c r="F246" s="13"/>
    </row>
    <row r="247" spans="1:6" x14ac:dyDescent="0.3">
      <c r="A247" s="21">
        <v>46100</v>
      </c>
      <c r="B247" s="13" t="s">
        <v>932</v>
      </c>
      <c r="C247" s="13" t="s">
        <v>600</v>
      </c>
      <c r="D247" s="13"/>
      <c r="E247" s="14">
        <v>167171.23000000001</v>
      </c>
      <c r="F247" s="13"/>
    </row>
    <row r="248" spans="1:6" x14ac:dyDescent="0.3">
      <c r="A248" s="21">
        <v>46101</v>
      </c>
      <c r="B248" s="13" t="s">
        <v>933</v>
      </c>
      <c r="C248" s="13" t="s">
        <v>600</v>
      </c>
      <c r="D248" s="13"/>
      <c r="E248" s="13"/>
      <c r="F248" s="14">
        <v>538393.30000000005</v>
      </c>
    </row>
    <row r="249" spans="1:6" x14ac:dyDescent="0.3">
      <c r="A249" s="21">
        <v>46101</v>
      </c>
      <c r="B249" s="13" t="s">
        <v>934</v>
      </c>
      <c r="C249" s="13" t="s">
        <v>600</v>
      </c>
      <c r="D249" s="13"/>
      <c r="E249" s="13"/>
      <c r="F249" s="14">
        <v>851420.4</v>
      </c>
    </row>
    <row r="250" spans="1:6" x14ac:dyDescent="0.3">
      <c r="A250" s="21">
        <v>46101</v>
      </c>
      <c r="B250" s="13" t="s">
        <v>935</v>
      </c>
      <c r="C250" s="13" t="s">
        <v>600</v>
      </c>
      <c r="D250" s="13" t="s">
        <v>936</v>
      </c>
      <c r="E250" s="14">
        <v>717.75</v>
      </c>
      <c r="F250" s="13"/>
    </row>
    <row r="251" spans="1:6" x14ac:dyDescent="0.3">
      <c r="A251" s="21">
        <v>46101</v>
      </c>
      <c r="B251" s="13" t="s">
        <v>937</v>
      </c>
      <c r="C251" s="13" t="s">
        <v>600</v>
      </c>
      <c r="D251" s="13"/>
      <c r="E251" s="14">
        <v>4000000</v>
      </c>
      <c r="F251" s="13"/>
    </row>
    <row r="252" spans="1:6" x14ac:dyDescent="0.3">
      <c r="A252" s="21">
        <v>46101</v>
      </c>
      <c r="B252" s="13" t="s">
        <v>938</v>
      </c>
      <c r="C252" s="13" t="s">
        <v>600</v>
      </c>
      <c r="D252" s="13" t="s">
        <v>939</v>
      </c>
      <c r="E252" s="14">
        <v>145483.63</v>
      </c>
      <c r="F252" s="13"/>
    </row>
    <row r="253" spans="1:6" x14ac:dyDescent="0.3">
      <c r="A253" s="21">
        <v>46101</v>
      </c>
      <c r="B253" s="13" t="s">
        <v>940</v>
      </c>
      <c r="C253" s="13" t="s">
        <v>600</v>
      </c>
      <c r="D253" s="13" t="s">
        <v>941</v>
      </c>
      <c r="E253" s="14">
        <v>309276</v>
      </c>
      <c r="F253" s="13"/>
    </row>
    <row r="254" spans="1:6" x14ac:dyDescent="0.3">
      <c r="A254" s="21">
        <v>46101</v>
      </c>
      <c r="B254" s="13" t="s">
        <v>942</v>
      </c>
      <c r="C254" s="13" t="s">
        <v>600</v>
      </c>
      <c r="D254" s="13" t="s">
        <v>943</v>
      </c>
      <c r="E254" s="14">
        <v>140030.04</v>
      </c>
      <c r="F254" s="13"/>
    </row>
    <row r="255" spans="1:6" x14ac:dyDescent="0.3">
      <c r="A255" s="21">
        <v>46101</v>
      </c>
      <c r="B255" s="13" t="s">
        <v>944</v>
      </c>
      <c r="C255" s="13" t="s">
        <v>600</v>
      </c>
      <c r="D255" s="13" t="s">
        <v>945</v>
      </c>
      <c r="E255" s="14">
        <v>167919.12</v>
      </c>
      <c r="F255" s="13"/>
    </row>
    <row r="256" spans="1:6" x14ac:dyDescent="0.3">
      <c r="A256" s="21">
        <v>46101</v>
      </c>
      <c r="B256" s="13" t="s">
        <v>946</v>
      </c>
      <c r="C256" s="13" t="s">
        <v>600</v>
      </c>
      <c r="D256" s="13"/>
      <c r="E256" s="13"/>
      <c r="F256" s="14">
        <v>3000000</v>
      </c>
    </row>
    <row r="257" spans="1:6" x14ac:dyDescent="0.3">
      <c r="A257" s="21">
        <v>46101</v>
      </c>
      <c r="B257" s="13" t="s">
        <v>947</v>
      </c>
      <c r="C257" s="13" t="s">
        <v>600</v>
      </c>
      <c r="D257" s="13"/>
      <c r="E257" s="14">
        <v>163099.23000000001</v>
      </c>
      <c r="F257" s="13"/>
    </row>
    <row r="258" spans="1:6" x14ac:dyDescent="0.3">
      <c r="A258" s="21">
        <v>46101</v>
      </c>
      <c r="B258" s="13" t="s">
        <v>947</v>
      </c>
      <c r="C258" s="13" t="s">
        <v>600</v>
      </c>
      <c r="D258" s="13"/>
      <c r="E258" s="14">
        <v>25222.41</v>
      </c>
      <c r="F258" s="13"/>
    </row>
    <row r="259" spans="1:6" x14ac:dyDescent="0.3">
      <c r="A259" s="21">
        <v>46101</v>
      </c>
      <c r="B259" s="13" t="s">
        <v>948</v>
      </c>
      <c r="C259" s="13" t="s">
        <v>600</v>
      </c>
      <c r="D259" s="13" t="s">
        <v>949</v>
      </c>
      <c r="E259" s="14">
        <v>1233857.6200000001</v>
      </c>
      <c r="F259" s="13"/>
    </row>
    <row r="260" spans="1:6" x14ac:dyDescent="0.3">
      <c r="A260" s="21">
        <v>46101</v>
      </c>
      <c r="B260" s="13" t="s">
        <v>950</v>
      </c>
      <c r="C260" s="13" t="s">
        <v>600</v>
      </c>
      <c r="D260" s="13" t="s">
        <v>951</v>
      </c>
      <c r="E260" s="14">
        <v>1836790.52</v>
      </c>
      <c r="F260" s="13"/>
    </row>
    <row r="261" spans="1:6" x14ac:dyDescent="0.3">
      <c r="A261" s="21">
        <v>46101</v>
      </c>
      <c r="B261" s="13" t="s">
        <v>952</v>
      </c>
      <c r="C261" s="13" t="s">
        <v>600</v>
      </c>
      <c r="D261" s="13" t="s">
        <v>953</v>
      </c>
      <c r="E261" s="14">
        <v>2489256.2999999998</v>
      </c>
      <c r="F261" s="13"/>
    </row>
    <row r="262" spans="1:6" x14ac:dyDescent="0.3">
      <c r="A262" s="21">
        <v>46104</v>
      </c>
      <c r="B262" s="13" t="s">
        <v>954</v>
      </c>
      <c r="C262" s="13" t="s">
        <v>600</v>
      </c>
      <c r="D262" s="13" t="s">
        <v>955</v>
      </c>
      <c r="E262" s="14">
        <v>89720.88</v>
      </c>
      <c r="F262" s="13"/>
    </row>
    <row r="263" spans="1:6" x14ac:dyDescent="0.3">
      <c r="A263" s="21">
        <v>46104</v>
      </c>
      <c r="B263" s="13" t="s">
        <v>956</v>
      </c>
      <c r="C263" s="13" t="s">
        <v>600</v>
      </c>
      <c r="D263" s="13" t="s">
        <v>957</v>
      </c>
      <c r="E263" s="14">
        <v>1932989.05</v>
      </c>
      <c r="F263" s="13"/>
    </row>
    <row r="264" spans="1:6" x14ac:dyDescent="0.3">
      <c r="A264" s="21">
        <v>46104</v>
      </c>
      <c r="B264" s="13" t="s">
        <v>958</v>
      </c>
      <c r="C264" s="13" t="s">
        <v>600</v>
      </c>
      <c r="D264" s="13" t="s">
        <v>959</v>
      </c>
      <c r="E264" s="14">
        <v>90764.52</v>
      </c>
      <c r="F264" s="13"/>
    </row>
    <row r="265" spans="1:6" x14ac:dyDescent="0.3">
      <c r="A265" s="21">
        <v>46105</v>
      </c>
      <c r="B265" s="13" t="s">
        <v>960</v>
      </c>
      <c r="C265" s="13" t="s">
        <v>600</v>
      </c>
      <c r="D265" s="13" t="s">
        <v>961</v>
      </c>
      <c r="E265" s="14">
        <v>13316.45</v>
      </c>
      <c r="F265" s="13"/>
    </row>
    <row r="266" spans="1:6" x14ac:dyDescent="0.3">
      <c r="A266" s="21">
        <v>46106</v>
      </c>
      <c r="B266" s="13" t="s">
        <v>962</v>
      </c>
      <c r="C266" s="13" t="s">
        <v>600</v>
      </c>
      <c r="D266" s="13"/>
      <c r="E266" s="13"/>
      <c r="F266" s="14">
        <v>1006489.17</v>
      </c>
    </row>
    <row r="267" spans="1:6" x14ac:dyDescent="0.3">
      <c r="A267" s="21">
        <v>46106</v>
      </c>
      <c r="B267" s="13" t="s">
        <v>963</v>
      </c>
      <c r="C267" s="13" t="s">
        <v>600</v>
      </c>
      <c r="D267" s="13"/>
      <c r="E267" s="13"/>
      <c r="F267" s="14">
        <v>386428.77</v>
      </c>
    </row>
    <row r="268" spans="1:6" x14ac:dyDescent="0.3">
      <c r="A268" s="21">
        <v>46106</v>
      </c>
      <c r="B268" s="13" t="s">
        <v>964</v>
      </c>
      <c r="C268" s="13" t="s">
        <v>600</v>
      </c>
      <c r="D268" s="13"/>
      <c r="E268" s="13"/>
      <c r="F268" s="14">
        <v>1536141.96</v>
      </c>
    </row>
    <row r="269" spans="1:6" x14ac:dyDescent="0.3">
      <c r="A269" s="21">
        <v>46106</v>
      </c>
      <c r="B269" s="13" t="s">
        <v>965</v>
      </c>
      <c r="C269" s="13" t="s">
        <v>600</v>
      </c>
      <c r="D269" s="13"/>
      <c r="E269" s="13"/>
      <c r="F269" s="14">
        <v>810669.2</v>
      </c>
    </row>
    <row r="270" spans="1:6" x14ac:dyDescent="0.3">
      <c r="A270" s="21">
        <v>46106</v>
      </c>
      <c r="B270" s="13" t="s">
        <v>966</v>
      </c>
      <c r="C270" s="13" t="s">
        <v>600</v>
      </c>
      <c r="D270" s="13"/>
      <c r="E270" s="13"/>
      <c r="F270" s="14">
        <v>63907.44</v>
      </c>
    </row>
    <row r="271" spans="1:6" x14ac:dyDescent="0.3">
      <c r="A271" s="21">
        <v>46106</v>
      </c>
      <c r="B271" s="13" t="s">
        <v>967</v>
      </c>
      <c r="C271" s="13" t="s">
        <v>600</v>
      </c>
      <c r="D271" s="13"/>
      <c r="E271" s="13"/>
      <c r="F271" s="14">
        <v>117854.59</v>
      </c>
    </row>
    <row r="272" spans="1:6" x14ac:dyDescent="0.3">
      <c r="A272" s="21">
        <v>46106</v>
      </c>
      <c r="B272" s="13" t="s">
        <v>968</v>
      </c>
      <c r="C272" s="13" t="s">
        <v>600</v>
      </c>
      <c r="D272" s="13"/>
      <c r="E272" s="13"/>
      <c r="F272" s="14">
        <v>250092.5</v>
      </c>
    </row>
    <row r="273" spans="1:6" x14ac:dyDescent="0.3">
      <c r="A273" s="21">
        <v>46106</v>
      </c>
      <c r="B273" s="13" t="s">
        <v>969</v>
      </c>
      <c r="C273" s="13" t="s">
        <v>600</v>
      </c>
      <c r="D273" s="13"/>
      <c r="E273" s="13"/>
      <c r="F273" s="14">
        <v>259806.86</v>
      </c>
    </row>
    <row r="274" spans="1:6" x14ac:dyDescent="0.3">
      <c r="A274" s="21">
        <v>46106</v>
      </c>
      <c r="B274" s="13" t="s">
        <v>970</v>
      </c>
      <c r="C274" s="13" t="s">
        <v>600</v>
      </c>
      <c r="D274" s="13" t="s">
        <v>971</v>
      </c>
      <c r="E274" s="14">
        <v>163226.26</v>
      </c>
      <c r="F274" s="13"/>
    </row>
    <row r="275" spans="1:6" x14ac:dyDescent="0.3">
      <c r="A275" s="21">
        <v>46106</v>
      </c>
      <c r="B275" s="13" t="s">
        <v>972</v>
      </c>
      <c r="C275" s="13" t="s">
        <v>600</v>
      </c>
      <c r="D275" s="13" t="s">
        <v>973</v>
      </c>
      <c r="E275" s="14">
        <v>199383.29</v>
      </c>
      <c r="F275" s="13"/>
    </row>
    <row r="276" spans="1:6" x14ac:dyDescent="0.3">
      <c r="A276" s="21">
        <v>46106</v>
      </c>
      <c r="B276" s="13" t="s">
        <v>974</v>
      </c>
      <c r="C276" s="13" t="s">
        <v>600</v>
      </c>
      <c r="D276" s="13"/>
      <c r="E276" s="13"/>
      <c r="F276" s="14">
        <v>52889.1</v>
      </c>
    </row>
    <row r="277" spans="1:6" x14ac:dyDescent="0.3">
      <c r="A277" s="21">
        <v>46106</v>
      </c>
      <c r="B277" s="13" t="s">
        <v>975</v>
      </c>
      <c r="C277" s="13" t="s">
        <v>600</v>
      </c>
      <c r="D277" s="13"/>
      <c r="E277" s="13"/>
      <c r="F277" s="14">
        <v>4108378.73</v>
      </c>
    </row>
    <row r="278" spans="1:6" x14ac:dyDescent="0.3">
      <c r="A278" s="21">
        <v>46106</v>
      </c>
      <c r="B278" s="13" t="s">
        <v>976</v>
      </c>
      <c r="C278" s="13" t="s">
        <v>600</v>
      </c>
      <c r="D278" s="13"/>
      <c r="E278" s="13"/>
      <c r="F278" s="14">
        <v>851000</v>
      </c>
    </row>
    <row r="279" spans="1:6" x14ac:dyDescent="0.3">
      <c r="A279" s="21">
        <v>46106</v>
      </c>
      <c r="B279" s="13" t="s">
        <v>977</v>
      </c>
      <c r="C279" s="13" t="s">
        <v>600</v>
      </c>
      <c r="D279" s="13"/>
      <c r="E279" s="13"/>
      <c r="F279" s="14">
        <v>253421.8</v>
      </c>
    </row>
    <row r="280" spans="1:6" x14ac:dyDescent="0.3">
      <c r="A280" s="21">
        <v>46106</v>
      </c>
      <c r="B280" s="13" t="s">
        <v>978</v>
      </c>
      <c r="C280" s="13" t="s">
        <v>600</v>
      </c>
      <c r="D280" s="13"/>
      <c r="E280" s="14">
        <v>1000000</v>
      </c>
      <c r="F280" s="13"/>
    </row>
    <row r="281" spans="1:6" x14ac:dyDescent="0.3">
      <c r="A281" s="21">
        <v>46106</v>
      </c>
      <c r="B281" s="13" t="s">
        <v>979</v>
      </c>
      <c r="C281" s="13" t="s">
        <v>600</v>
      </c>
      <c r="D281" s="13"/>
      <c r="E281" s="14">
        <v>6000000</v>
      </c>
      <c r="F281" s="13"/>
    </row>
    <row r="282" spans="1:6" x14ac:dyDescent="0.3">
      <c r="A282" s="21">
        <v>46106</v>
      </c>
      <c r="B282" s="13" t="s">
        <v>980</v>
      </c>
      <c r="C282" s="13" t="s">
        <v>600</v>
      </c>
      <c r="D282" s="13" t="s">
        <v>981</v>
      </c>
      <c r="E282" s="14">
        <v>612349.85</v>
      </c>
      <c r="F282" s="13"/>
    </row>
    <row r="283" spans="1:6" x14ac:dyDescent="0.3">
      <c r="A283" s="21">
        <v>46106</v>
      </c>
      <c r="B283" s="13" t="s">
        <v>982</v>
      </c>
      <c r="C283" s="13" t="s">
        <v>600</v>
      </c>
      <c r="D283" s="13"/>
      <c r="E283" s="13"/>
      <c r="F283" s="14">
        <v>5000000</v>
      </c>
    </row>
    <row r="284" spans="1:6" x14ac:dyDescent="0.3">
      <c r="A284" s="21">
        <v>46106</v>
      </c>
      <c r="B284" s="13" t="s">
        <v>983</v>
      </c>
      <c r="C284" s="13" t="s">
        <v>600</v>
      </c>
      <c r="D284" s="13" t="s">
        <v>984</v>
      </c>
      <c r="E284" s="14">
        <v>552006.21</v>
      </c>
      <c r="F284" s="13"/>
    </row>
    <row r="285" spans="1:6" x14ac:dyDescent="0.3">
      <c r="A285" s="21">
        <v>46106</v>
      </c>
      <c r="B285" s="13" t="s">
        <v>985</v>
      </c>
      <c r="C285" s="13" t="s">
        <v>600</v>
      </c>
      <c r="D285" s="13" t="s">
        <v>986</v>
      </c>
      <c r="E285" s="14">
        <v>20206.2</v>
      </c>
      <c r="F285" s="13"/>
    </row>
    <row r="286" spans="1:6" x14ac:dyDescent="0.3">
      <c r="A286" s="21">
        <v>46106</v>
      </c>
      <c r="B286" s="13" t="s">
        <v>987</v>
      </c>
      <c r="C286" s="13" t="s">
        <v>600</v>
      </c>
      <c r="D286" s="13" t="s">
        <v>988</v>
      </c>
      <c r="E286" s="14">
        <v>314127.17</v>
      </c>
      <c r="F286" s="13"/>
    </row>
    <row r="287" spans="1:6" x14ac:dyDescent="0.3">
      <c r="A287" s="21">
        <v>46106</v>
      </c>
      <c r="B287" s="13" t="s">
        <v>989</v>
      </c>
      <c r="C287" s="13" t="s">
        <v>600</v>
      </c>
      <c r="D287" s="13" t="s">
        <v>990</v>
      </c>
      <c r="E287" s="14">
        <v>774090</v>
      </c>
      <c r="F287" s="13"/>
    </row>
    <row r="288" spans="1:6" x14ac:dyDescent="0.3">
      <c r="A288" s="21">
        <v>46106</v>
      </c>
      <c r="B288" s="13" t="s">
        <v>991</v>
      </c>
      <c r="C288" s="13" t="s">
        <v>600</v>
      </c>
      <c r="D288" s="13"/>
      <c r="E288" s="13"/>
      <c r="F288" s="14">
        <v>13737.76</v>
      </c>
    </row>
    <row r="289" spans="1:6" x14ac:dyDescent="0.3">
      <c r="A289" s="21">
        <v>46107</v>
      </c>
      <c r="B289" s="13" t="s">
        <v>992</v>
      </c>
      <c r="C289" s="13" t="s">
        <v>600</v>
      </c>
      <c r="D289" s="13" t="s">
        <v>993</v>
      </c>
      <c r="E289" s="14">
        <v>1656214.2</v>
      </c>
      <c r="F289" s="13"/>
    </row>
    <row r="290" spans="1:6" x14ac:dyDescent="0.3">
      <c r="A290" s="21">
        <v>46107</v>
      </c>
      <c r="B290" s="13" t="s">
        <v>994</v>
      </c>
      <c r="C290" s="13" t="s">
        <v>600</v>
      </c>
      <c r="D290" s="13" t="s">
        <v>995</v>
      </c>
      <c r="E290" s="14">
        <v>7735380.5</v>
      </c>
      <c r="F290" s="13"/>
    </row>
    <row r="291" spans="1:6" x14ac:dyDescent="0.3">
      <c r="A291" s="21">
        <v>46107</v>
      </c>
      <c r="B291" s="13" t="s">
        <v>996</v>
      </c>
      <c r="C291" s="13" t="s">
        <v>600</v>
      </c>
      <c r="D291" s="13"/>
      <c r="E291" s="13"/>
      <c r="F291" s="14">
        <v>11000000</v>
      </c>
    </row>
    <row r="292" spans="1:6" x14ac:dyDescent="0.3">
      <c r="A292" s="21">
        <v>46107</v>
      </c>
      <c r="B292" s="13" t="s">
        <v>997</v>
      </c>
      <c r="C292" s="13" t="s">
        <v>600</v>
      </c>
      <c r="D292" s="13" t="s">
        <v>998</v>
      </c>
      <c r="E292" s="14">
        <v>315841.98</v>
      </c>
      <c r="F292" s="13"/>
    </row>
    <row r="293" spans="1:6" x14ac:dyDescent="0.3">
      <c r="A293" s="21">
        <v>46107</v>
      </c>
      <c r="B293" s="13" t="s">
        <v>999</v>
      </c>
      <c r="C293" s="13" t="s">
        <v>600</v>
      </c>
      <c r="D293" s="13" t="s">
        <v>1000</v>
      </c>
      <c r="E293" s="14">
        <v>1067992.79</v>
      </c>
      <c r="F293" s="13"/>
    </row>
    <row r="294" spans="1:6" x14ac:dyDescent="0.3">
      <c r="A294" s="21">
        <v>46107</v>
      </c>
      <c r="B294" s="13" t="s">
        <v>1001</v>
      </c>
      <c r="C294" s="13" t="s">
        <v>600</v>
      </c>
      <c r="D294" s="13" t="s">
        <v>1002</v>
      </c>
      <c r="E294" s="14">
        <v>183836.79999999999</v>
      </c>
      <c r="F294" s="13"/>
    </row>
    <row r="295" spans="1:6" x14ac:dyDescent="0.3">
      <c r="A295" s="21">
        <v>46107</v>
      </c>
      <c r="B295" s="13" t="s">
        <v>1003</v>
      </c>
      <c r="C295" s="13" t="s">
        <v>600</v>
      </c>
      <c r="D295" s="13"/>
      <c r="E295" s="14">
        <v>3000000</v>
      </c>
      <c r="F295" s="13"/>
    </row>
    <row r="296" spans="1:6" x14ac:dyDescent="0.3">
      <c r="A296" s="21">
        <v>46107</v>
      </c>
      <c r="B296" s="13" t="s">
        <v>1004</v>
      </c>
      <c r="C296" s="13" t="s">
        <v>600</v>
      </c>
      <c r="D296" s="13"/>
      <c r="E296" s="13"/>
      <c r="F296" s="14">
        <v>5000000</v>
      </c>
    </row>
    <row r="297" spans="1:6" x14ac:dyDescent="0.3">
      <c r="A297" s="21">
        <v>46107</v>
      </c>
      <c r="B297" s="13" t="s">
        <v>1005</v>
      </c>
      <c r="C297" s="13" t="s">
        <v>600</v>
      </c>
      <c r="D297" s="13"/>
      <c r="E297" s="14">
        <v>765317.27</v>
      </c>
      <c r="F297" s="13"/>
    </row>
    <row r="298" spans="1:6" x14ac:dyDescent="0.3">
      <c r="A298" s="21">
        <v>46107</v>
      </c>
      <c r="B298" s="13" t="s">
        <v>1005</v>
      </c>
      <c r="C298" s="13" t="s">
        <v>600</v>
      </c>
      <c r="D298" s="13"/>
      <c r="E298" s="14">
        <v>62431.53</v>
      </c>
      <c r="F298" s="13"/>
    </row>
    <row r="299" spans="1:6" x14ac:dyDescent="0.3">
      <c r="A299" s="21">
        <v>46107</v>
      </c>
      <c r="B299" s="13" t="s">
        <v>1006</v>
      </c>
      <c r="C299" s="13" t="s">
        <v>600</v>
      </c>
      <c r="D299" s="13" t="s">
        <v>1007</v>
      </c>
      <c r="E299" s="14">
        <v>116041.9</v>
      </c>
      <c r="F299" s="13"/>
    </row>
    <row r="300" spans="1:6" x14ac:dyDescent="0.3">
      <c r="A300" s="21">
        <v>46108</v>
      </c>
      <c r="B300" s="13" t="s">
        <v>1008</v>
      </c>
      <c r="C300" s="13" t="s">
        <v>600</v>
      </c>
      <c r="D300" s="13"/>
      <c r="E300" s="13"/>
      <c r="F300" s="14">
        <v>542786.63</v>
      </c>
    </row>
    <row r="301" spans="1:6" x14ac:dyDescent="0.3">
      <c r="A301" s="21">
        <v>46108</v>
      </c>
      <c r="B301" s="13" t="s">
        <v>1009</v>
      </c>
      <c r="C301" s="13" t="s">
        <v>600</v>
      </c>
      <c r="D301" s="13" t="s">
        <v>1010</v>
      </c>
      <c r="E301" s="14">
        <v>1122853.3500000001</v>
      </c>
      <c r="F301" s="13"/>
    </row>
    <row r="302" spans="1:6" x14ac:dyDescent="0.3">
      <c r="A302" s="21">
        <v>46108</v>
      </c>
      <c r="B302" s="13" t="s">
        <v>1011</v>
      </c>
      <c r="C302" s="13" t="s">
        <v>600</v>
      </c>
      <c r="D302" s="13" t="s">
        <v>1012</v>
      </c>
      <c r="E302" s="14">
        <v>173503.88</v>
      </c>
      <c r="F302" s="13"/>
    </row>
    <row r="303" spans="1:6" x14ac:dyDescent="0.3">
      <c r="A303" s="21">
        <v>46108</v>
      </c>
      <c r="B303" s="13" t="s">
        <v>1013</v>
      </c>
      <c r="C303" s="13" t="s">
        <v>600</v>
      </c>
      <c r="D303" s="13" t="s">
        <v>1014</v>
      </c>
      <c r="E303" s="14">
        <v>596451.92000000004</v>
      </c>
      <c r="F303" s="13"/>
    </row>
    <row r="304" spans="1:6" x14ac:dyDescent="0.3">
      <c r="A304" s="21">
        <v>46108</v>
      </c>
      <c r="B304" s="13" t="s">
        <v>1015</v>
      </c>
      <c r="C304" s="13" t="s">
        <v>600</v>
      </c>
      <c r="D304" s="13" t="s">
        <v>1016</v>
      </c>
      <c r="E304" s="14">
        <v>266713.87</v>
      </c>
      <c r="F304" s="13"/>
    </row>
    <row r="305" spans="1:6" x14ac:dyDescent="0.3">
      <c r="A305" s="21">
        <v>46108</v>
      </c>
      <c r="B305" s="13" t="s">
        <v>1017</v>
      </c>
      <c r="C305" s="13" t="s">
        <v>600</v>
      </c>
      <c r="D305" s="13" t="s">
        <v>1018</v>
      </c>
      <c r="E305" s="14">
        <v>106948.5</v>
      </c>
      <c r="F305" s="13"/>
    </row>
    <row r="306" spans="1:6" x14ac:dyDescent="0.3">
      <c r="A306" s="21">
        <v>46108</v>
      </c>
      <c r="B306" s="13" t="s">
        <v>1019</v>
      </c>
      <c r="C306" s="13" t="s">
        <v>600</v>
      </c>
      <c r="D306" s="13" t="s">
        <v>1020</v>
      </c>
      <c r="E306" s="14">
        <v>72514.7</v>
      </c>
      <c r="F306" s="13"/>
    </row>
    <row r="307" spans="1:6" x14ac:dyDescent="0.3">
      <c r="A307" s="21">
        <v>46108</v>
      </c>
      <c r="B307" s="13" t="s">
        <v>1021</v>
      </c>
      <c r="C307" s="13" t="s">
        <v>600</v>
      </c>
      <c r="D307" s="13" t="s">
        <v>1022</v>
      </c>
      <c r="E307" s="14">
        <v>70792.7</v>
      </c>
      <c r="F307" s="13"/>
    </row>
    <row r="308" spans="1:6" x14ac:dyDescent="0.3">
      <c r="A308" s="21">
        <v>46108</v>
      </c>
      <c r="B308" s="13" t="s">
        <v>1023</v>
      </c>
      <c r="C308" s="13" t="s">
        <v>600</v>
      </c>
      <c r="D308" s="13" t="s">
        <v>1024</v>
      </c>
      <c r="E308" s="14">
        <v>290294.55</v>
      </c>
      <c r="F308" s="13"/>
    </row>
    <row r="309" spans="1:6" x14ac:dyDescent="0.3">
      <c r="A309" s="21">
        <v>46108</v>
      </c>
      <c r="B309" s="13" t="s">
        <v>1025</v>
      </c>
      <c r="C309" s="13" t="s">
        <v>600</v>
      </c>
      <c r="D309" s="13" t="s">
        <v>1026</v>
      </c>
      <c r="E309" s="14">
        <v>107044.75</v>
      </c>
      <c r="F309" s="13"/>
    </row>
    <row r="310" spans="1:6" x14ac:dyDescent="0.3">
      <c r="A310" s="21">
        <v>46108</v>
      </c>
      <c r="B310" s="13" t="s">
        <v>1027</v>
      </c>
      <c r="C310" s="13" t="s">
        <v>600</v>
      </c>
      <c r="D310" s="13"/>
      <c r="E310" s="14">
        <v>1250435.77</v>
      </c>
      <c r="F310" s="13"/>
    </row>
    <row r="311" spans="1:6" x14ac:dyDescent="0.3">
      <c r="A311" s="21">
        <v>46110</v>
      </c>
      <c r="B311" s="13" t="s">
        <v>1028</v>
      </c>
      <c r="C311" s="13" t="s">
        <v>600</v>
      </c>
      <c r="D311" s="13" t="s">
        <v>1029</v>
      </c>
      <c r="E311" s="14">
        <v>56571.5</v>
      </c>
      <c r="F311" s="13"/>
    </row>
    <row r="312" spans="1:6" x14ac:dyDescent="0.3">
      <c r="A312" s="21">
        <v>46111</v>
      </c>
      <c r="B312" s="13" t="s">
        <v>1030</v>
      </c>
      <c r="C312" s="13" t="s">
        <v>600</v>
      </c>
      <c r="D312" s="13" t="s">
        <v>1031</v>
      </c>
      <c r="E312" s="14">
        <v>101094</v>
      </c>
      <c r="F312" s="13"/>
    </row>
    <row r="313" spans="1:6" x14ac:dyDescent="0.3">
      <c r="A313" s="21">
        <v>46111</v>
      </c>
      <c r="B313" s="13" t="s">
        <v>1032</v>
      </c>
      <c r="C313" s="13" t="s">
        <v>600</v>
      </c>
      <c r="D313" s="13"/>
      <c r="E313" s="13"/>
      <c r="F313" s="14">
        <v>10615330</v>
      </c>
    </row>
    <row r="314" spans="1:6" x14ac:dyDescent="0.3">
      <c r="A314" s="21">
        <v>46111</v>
      </c>
      <c r="B314" s="13" t="s">
        <v>1033</v>
      </c>
      <c r="C314" s="13" t="s">
        <v>600</v>
      </c>
      <c r="D314" s="13"/>
      <c r="E314" s="14">
        <v>1500000</v>
      </c>
      <c r="F314" s="13"/>
    </row>
    <row r="315" spans="1:6" x14ac:dyDescent="0.3">
      <c r="A315" s="21">
        <v>46111</v>
      </c>
      <c r="B315" s="13" t="s">
        <v>1034</v>
      </c>
      <c r="C315" s="13" t="s">
        <v>600</v>
      </c>
      <c r="D315" s="13"/>
      <c r="E315" s="14">
        <v>3000000</v>
      </c>
      <c r="F315" s="13"/>
    </row>
    <row r="316" spans="1:6" x14ac:dyDescent="0.3">
      <c r="A316" s="21">
        <v>46111</v>
      </c>
      <c r="B316" s="13" t="s">
        <v>1035</v>
      </c>
      <c r="C316" s="13" t="s">
        <v>600</v>
      </c>
      <c r="D316" s="13" t="s">
        <v>1036</v>
      </c>
      <c r="E316" s="14">
        <v>308187</v>
      </c>
      <c r="F316" s="13"/>
    </row>
    <row r="317" spans="1:6" x14ac:dyDescent="0.3">
      <c r="A317" s="21">
        <v>46111</v>
      </c>
      <c r="B317" s="13" t="s">
        <v>1037</v>
      </c>
      <c r="C317" s="13" t="s">
        <v>600</v>
      </c>
      <c r="D317" s="13" t="s">
        <v>1038</v>
      </c>
      <c r="E317" s="14">
        <v>128041.62</v>
      </c>
      <c r="F317" s="13"/>
    </row>
    <row r="318" spans="1:6" x14ac:dyDescent="0.3">
      <c r="A318" s="21">
        <v>46111</v>
      </c>
      <c r="B318" s="13" t="s">
        <v>1039</v>
      </c>
      <c r="C318" s="13" t="s">
        <v>600</v>
      </c>
      <c r="D318" s="13" t="s">
        <v>1040</v>
      </c>
      <c r="E318" s="14">
        <v>855779.96</v>
      </c>
      <c r="F318" s="13"/>
    </row>
    <row r="319" spans="1:6" x14ac:dyDescent="0.3">
      <c r="A319" s="21">
        <v>46111</v>
      </c>
      <c r="B319" s="13" t="s">
        <v>1041</v>
      </c>
      <c r="C319" s="13" t="s">
        <v>600</v>
      </c>
      <c r="D319" s="13"/>
      <c r="E319" s="13"/>
      <c r="F319" s="14">
        <v>211750</v>
      </c>
    </row>
    <row r="320" spans="1:6" x14ac:dyDescent="0.3">
      <c r="A320" s="21">
        <v>46111</v>
      </c>
      <c r="B320" s="13" t="s">
        <v>1042</v>
      </c>
      <c r="C320" s="13" t="s">
        <v>600</v>
      </c>
      <c r="D320" s="13"/>
      <c r="E320" s="13"/>
      <c r="F320" s="14">
        <v>3000000</v>
      </c>
    </row>
    <row r="321" spans="1:6" x14ac:dyDescent="0.3">
      <c r="A321" s="21">
        <v>46111</v>
      </c>
      <c r="B321" s="13" t="s">
        <v>1043</v>
      </c>
      <c r="C321" s="13" t="s">
        <v>600</v>
      </c>
      <c r="D321" s="13" t="s">
        <v>1044</v>
      </c>
      <c r="E321" s="14">
        <v>470220.6</v>
      </c>
      <c r="F321" s="13"/>
    </row>
    <row r="322" spans="1:6" x14ac:dyDescent="0.3">
      <c r="A322" s="21">
        <v>46111</v>
      </c>
      <c r="B322" s="13" t="s">
        <v>1045</v>
      </c>
      <c r="C322" s="13" t="s">
        <v>600</v>
      </c>
      <c r="D322" s="13" t="s">
        <v>1046</v>
      </c>
      <c r="E322" s="14">
        <v>182655.55</v>
      </c>
      <c r="F322" s="13"/>
    </row>
    <row r="323" spans="1:6" x14ac:dyDescent="0.3">
      <c r="A323" s="21">
        <v>46111</v>
      </c>
      <c r="B323" s="13" t="s">
        <v>1047</v>
      </c>
      <c r="C323" s="13" t="s">
        <v>600</v>
      </c>
      <c r="D323" s="13"/>
      <c r="E323" s="13"/>
      <c r="F323" s="14">
        <v>9000000</v>
      </c>
    </row>
    <row r="324" spans="1:6" x14ac:dyDescent="0.3">
      <c r="A324" s="21">
        <v>46111</v>
      </c>
      <c r="B324" s="13" t="s">
        <v>1048</v>
      </c>
      <c r="C324" s="13" t="s">
        <v>600</v>
      </c>
      <c r="D324" s="13"/>
      <c r="E324" s="14">
        <v>51963.28</v>
      </c>
      <c r="F324" s="13"/>
    </row>
    <row r="325" spans="1:6" x14ac:dyDescent="0.3">
      <c r="A325" s="21">
        <v>46111</v>
      </c>
      <c r="B325" s="13" t="s">
        <v>1048</v>
      </c>
      <c r="C325" s="13" t="s">
        <v>600</v>
      </c>
      <c r="D325" s="13"/>
      <c r="E325" s="14">
        <v>1176895.48</v>
      </c>
      <c r="F325" s="13"/>
    </row>
    <row r="326" spans="1:6" x14ac:dyDescent="0.3">
      <c r="A326" s="21">
        <v>46112</v>
      </c>
      <c r="B326" s="13" t="s">
        <v>1049</v>
      </c>
      <c r="C326" s="13" t="s">
        <v>600</v>
      </c>
      <c r="D326" s="13"/>
      <c r="E326" s="13"/>
      <c r="F326" s="14">
        <v>1000000</v>
      </c>
    </row>
    <row r="327" spans="1:6" x14ac:dyDescent="0.3">
      <c r="A327" s="21">
        <v>46112</v>
      </c>
      <c r="B327" s="13" t="s">
        <v>1050</v>
      </c>
      <c r="C327" s="13" t="s">
        <v>600</v>
      </c>
      <c r="D327" s="13"/>
      <c r="E327" s="13"/>
      <c r="F327" s="14">
        <v>2460000</v>
      </c>
    </row>
    <row r="328" spans="1:6" x14ac:dyDescent="0.3">
      <c r="A328" s="21">
        <v>46112</v>
      </c>
      <c r="B328" s="13" t="s">
        <v>1051</v>
      </c>
      <c r="C328" s="13" t="s">
        <v>600</v>
      </c>
      <c r="D328" s="13"/>
      <c r="E328" s="13"/>
      <c r="F328" s="14">
        <v>1000000</v>
      </c>
    </row>
    <row r="329" spans="1:6" x14ac:dyDescent="0.3">
      <c r="A329" s="21">
        <v>46112</v>
      </c>
      <c r="B329" s="13" t="s">
        <v>1052</v>
      </c>
      <c r="C329" s="13" t="s">
        <v>600</v>
      </c>
      <c r="D329" s="13"/>
      <c r="E329" s="13"/>
      <c r="F329" s="14">
        <v>243090.94</v>
      </c>
    </row>
    <row r="330" spans="1:6" x14ac:dyDescent="0.3">
      <c r="A330" s="21">
        <v>46112</v>
      </c>
      <c r="B330" s="13" t="s">
        <v>1053</v>
      </c>
      <c r="C330" s="13" t="s">
        <v>600</v>
      </c>
      <c r="D330" s="13"/>
      <c r="E330" s="13"/>
      <c r="F330" s="14">
        <v>433903.21</v>
      </c>
    </row>
    <row r="331" spans="1:6" x14ac:dyDescent="0.3">
      <c r="A331" s="21">
        <v>46112</v>
      </c>
      <c r="B331" s="13" t="s">
        <v>1054</v>
      </c>
      <c r="C331" s="13" t="s">
        <v>600</v>
      </c>
      <c r="D331" s="13"/>
      <c r="E331" s="13"/>
      <c r="F331" s="14">
        <v>1395879.99</v>
      </c>
    </row>
    <row r="332" spans="1:6" x14ac:dyDescent="0.3">
      <c r="A332" s="21">
        <v>46112</v>
      </c>
      <c r="B332" s="13" t="s">
        <v>1055</v>
      </c>
      <c r="C332" s="13" t="s">
        <v>600</v>
      </c>
      <c r="D332" s="13"/>
      <c r="E332" s="13"/>
      <c r="F332" s="14">
        <v>27818.639999999999</v>
      </c>
    </row>
    <row r="333" spans="1:6" x14ac:dyDescent="0.3">
      <c r="A333" s="21">
        <v>46112</v>
      </c>
      <c r="B333" s="13" t="s">
        <v>1056</v>
      </c>
      <c r="C333" s="13" t="s">
        <v>600</v>
      </c>
      <c r="D333" s="13"/>
      <c r="E333" s="13"/>
      <c r="F333" s="14">
        <v>324270</v>
      </c>
    </row>
    <row r="334" spans="1:6" x14ac:dyDescent="0.3">
      <c r="A334" s="21">
        <v>46112</v>
      </c>
      <c r="B334" s="13" t="s">
        <v>1057</v>
      </c>
      <c r="C334" s="13" t="s">
        <v>600</v>
      </c>
      <c r="D334" s="13"/>
      <c r="E334" s="13"/>
      <c r="F334" s="14">
        <v>72600</v>
      </c>
    </row>
    <row r="335" spans="1:6" x14ac:dyDescent="0.3">
      <c r="A335" s="21">
        <v>46112</v>
      </c>
      <c r="B335" s="13" t="s">
        <v>1058</v>
      </c>
      <c r="C335" s="13" t="s">
        <v>600</v>
      </c>
      <c r="D335" s="13" t="s">
        <v>1059</v>
      </c>
      <c r="E335" s="14">
        <v>1691644.5</v>
      </c>
      <c r="F335" s="13"/>
    </row>
    <row r="336" spans="1:6" x14ac:dyDescent="0.3">
      <c r="A336" s="21">
        <v>46112</v>
      </c>
      <c r="B336" s="13" t="s">
        <v>1060</v>
      </c>
      <c r="C336" s="13" t="s">
        <v>600</v>
      </c>
      <c r="D336" s="13"/>
      <c r="E336" s="13"/>
      <c r="F336" s="14">
        <v>1000000</v>
      </c>
    </row>
    <row r="337" spans="1:6" x14ac:dyDescent="0.3">
      <c r="A337" s="21">
        <v>46112</v>
      </c>
      <c r="B337" s="13" t="s">
        <v>1061</v>
      </c>
      <c r="C337" s="13" t="s">
        <v>600</v>
      </c>
      <c r="D337" s="13" t="s">
        <v>1062</v>
      </c>
      <c r="E337" s="13"/>
      <c r="F337" s="14">
        <v>440846.7</v>
      </c>
    </row>
    <row r="338" spans="1:6" x14ac:dyDescent="0.3">
      <c r="A338" s="21">
        <v>46112</v>
      </c>
      <c r="B338" s="13" t="s">
        <v>1063</v>
      </c>
      <c r="C338" s="13" t="s">
        <v>600</v>
      </c>
      <c r="D338" s="13"/>
      <c r="E338" s="13"/>
      <c r="F338" s="14">
        <v>1205540.25</v>
      </c>
    </row>
    <row r="339" spans="1:6" x14ac:dyDescent="0.3">
      <c r="A339" s="21">
        <v>46112</v>
      </c>
      <c r="B339" s="13" t="s">
        <v>1064</v>
      </c>
      <c r="C339" s="13" t="s">
        <v>600</v>
      </c>
      <c r="D339" s="13"/>
      <c r="E339" s="14">
        <v>64999999.990000002</v>
      </c>
      <c r="F339" s="13"/>
    </row>
    <row r="340" spans="1:6" x14ac:dyDescent="0.3">
      <c r="A340" s="21">
        <v>46112</v>
      </c>
      <c r="B340" s="13" t="s">
        <v>1065</v>
      </c>
      <c r="C340" s="13" t="s">
        <v>600</v>
      </c>
      <c r="D340" s="13"/>
      <c r="E340" s="13"/>
      <c r="F340" s="14">
        <v>51188596</v>
      </c>
    </row>
    <row r="341" spans="1:6" x14ac:dyDescent="0.3">
      <c r="A341" s="21">
        <v>46112</v>
      </c>
      <c r="B341" s="13" t="s">
        <v>1066</v>
      </c>
      <c r="C341" s="13" t="s">
        <v>600</v>
      </c>
      <c r="D341" s="13" t="s">
        <v>1067</v>
      </c>
      <c r="E341" s="14">
        <v>324739.8</v>
      </c>
      <c r="F341" s="13"/>
    </row>
    <row r="342" spans="1:6" x14ac:dyDescent="0.3">
      <c r="A342" s="21">
        <v>46112</v>
      </c>
      <c r="B342" s="13" t="s">
        <v>1068</v>
      </c>
      <c r="C342" s="13" t="s">
        <v>600</v>
      </c>
      <c r="D342" s="13" t="s">
        <v>1069</v>
      </c>
      <c r="E342" s="14">
        <v>508388.4</v>
      </c>
      <c r="F342" s="13"/>
    </row>
    <row r="343" spans="1:6" x14ac:dyDescent="0.3">
      <c r="A343" s="21">
        <v>46112</v>
      </c>
      <c r="B343" s="13" t="s">
        <v>1070</v>
      </c>
      <c r="C343" s="13" t="s">
        <v>600</v>
      </c>
      <c r="D343" s="13"/>
      <c r="E343" s="14">
        <v>1000000</v>
      </c>
      <c r="F343" s="13"/>
    </row>
    <row r="344" spans="1:6" x14ac:dyDescent="0.3">
      <c r="A344" s="21">
        <v>46112</v>
      </c>
      <c r="B344" s="13" t="s">
        <v>1071</v>
      </c>
      <c r="C344" s="13" t="s">
        <v>600</v>
      </c>
      <c r="D344" s="13"/>
      <c r="E344" s="14">
        <v>2000000</v>
      </c>
      <c r="F344" s="13"/>
    </row>
    <row r="345" spans="1:6" x14ac:dyDescent="0.3">
      <c r="A345" s="21">
        <v>46112</v>
      </c>
      <c r="B345" s="13" t="s">
        <v>1072</v>
      </c>
      <c r="C345" s="13" t="s">
        <v>600</v>
      </c>
      <c r="D345" s="13"/>
      <c r="E345" s="13"/>
      <c r="F345" s="14">
        <v>10000000</v>
      </c>
    </row>
    <row r="346" spans="1:6" x14ac:dyDescent="0.3">
      <c r="A346" s="21">
        <v>46112</v>
      </c>
      <c r="B346" s="13" t="s">
        <v>1073</v>
      </c>
      <c r="C346" s="13" t="s">
        <v>600</v>
      </c>
      <c r="D346" s="13" t="s">
        <v>1074</v>
      </c>
      <c r="E346" s="14">
        <v>556855.23</v>
      </c>
      <c r="F346" s="13"/>
    </row>
    <row r="347" spans="1:6" x14ac:dyDescent="0.3">
      <c r="A347" s="21">
        <v>46112</v>
      </c>
      <c r="B347" s="13" t="s">
        <v>1073</v>
      </c>
      <c r="C347" s="13" t="s">
        <v>600</v>
      </c>
      <c r="D347" s="13" t="s">
        <v>1075</v>
      </c>
      <c r="E347" s="14">
        <v>1149745.5900000001</v>
      </c>
      <c r="F347" s="13"/>
    </row>
    <row r="348" spans="1:6" x14ac:dyDescent="0.3">
      <c r="A348" s="21">
        <v>46112</v>
      </c>
      <c r="B348" s="13" t="s">
        <v>1076</v>
      </c>
      <c r="C348" s="13" t="s">
        <v>600</v>
      </c>
      <c r="D348" s="13" t="s">
        <v>1077</v>
      </c>
      <c r="E348" s="14">
        <v>3430492</v>
      </c>
      <c r="F348" s="13"/>
    </row>
    <row r="349" spans="1:6" x14ac:dyDescent="0.3">
      <c r="A349" s="21">
        <v>46112</v>
      </c>
      <c r="B349" s="13" t="s">
        <v>1076</v>
      </c>
      <c r="C349" s="13" t="s">
        <v>600</v>
      </c>
      <c r="D349" s="13" t="s">
        <v>1078</v>
      </c>
      <c r="E349" s="14">
        <v>645536.19999999995</v>
      </c>
      <c r="F349" s="13"/>
    </row>
    <row r="350" spans="1:6" x14ac:dyDescent="0.3">
      <c r="A350" s="21">
        <v>46112</v>
      </c>
      <c r="B350" s="13" t="s">
        <v>1079</v>
      </c>
      <c r="C350" s="13" t="s">
        <v>600</v>
      </c>
      <c r="D350" s="13"/>
      <c r="E350" s="13"/>
      <c r="F350" s="14">
        <v>1175992.01</v>
      </c>
    </row>
    <row r="351" spans="1:6" x14ac:dyDescent="0.3">
      <c r="A351" s="21">
        <v>46112</v>
      </c>
      <c r="B351" s="13" t="s">
        <v>1080</v>
      </c>
      <c r="C351" s="13" t="s">
        <v>600</v>
      </c>
      <c r="D351" s="13"/>
      <c r="E351" s="13"/>
      <c r="F351" s="14">
        <v>1113200</v>
      </c>
    </row>
    <row r="352" spans="1:6" x14ac:dyDescent="0.3">
      <c r="A352" s="21">
        <v>46112</v>
      </c>
      <c r="B352" s="13" t="s">
        <v>1081</v>
      </c>
      <c r="C352" s="13" t="s">
        <v>600</v>
      </c>
      <c r="D352" s="13" t="s">
        <v>1082</v>
      </c>
      <c r="E352" s="14">
        <v>568430.80000000005</v>
      </c>
      <c r="F352" s="13"/>
    </row>
    <row r="353" spans="1:6" x14ac:dyDescent="0.3">
      <c r="A353" s="21">
        <v>46112</v>
      </c>
      <c r="B353" s="13" t="s">
        <v>1083</v>
      </c>
      <c r="C353" s="13" t="s">
        <v>600</v>
      </c>
      <c r="D353" s="13" t="s">
        <v>1084</v>
      </c>
      <c r="E353" s="14">
        <v>388985.59999999998</v>
      </c>
      <c r="F353" s="13"/>
    </row>
    <row r="354" spans="1:6" x14ac:dyDescent="0.3">
      <c r="A354" s="21">
        <v>46112</v>
      </c>
      <c r="B354" s="13" t="s">
        <v>1085</v>
      </c>
      <c r="C354" s="13" t="s">
        <v>600</v>
      </c>
      <c r="D354" s="13" t="s">
        <v>1000</v>
      </c>
      <c r="E354" s="14">
        <v>1647720.94</v>
      </c>
      <c r="F354" s="13"/>
    </row>
    <row r="355" spans="1:6" x14ac:dyDescent="0.3">
      <c r="A355" s="21">
        <v>46112</v>
      </c>
      <c r="B355" s="13" t="s">
        <v>1086</v>
      </c>
      <c r="C355" s="13" t="s">
        <v>600</v>
      </c>
      <c r="D355" s="13"/>
      <c r="E355" s="14">
        <v>89991.03</v>
      </c>
      <c r="F355" s="13"/>
    </row>
    <row r="356" spans="1:6" x14ac:dyDescent="0.3">
      <c r="A356" s="21">
        <v>46112</v>
      </c>
      <c r="B356" s="13" t="s">
        <v>1086</v>
      </c>
      <c r="C356" s="13" t="s">
        <v>600</v>
      </c>
      <c r="D356" s="13"/>
      <c r="E356" s="14">
        <v>257875.59</v>
      </c>
      <c r="F356" s="13"/>
    </row>
    <row r="357" spans="1:6" x14ac:dyDescent="0.3">
      <c r="A357" s="21">
        <v>46112</v>
      </c>
      <c r="B357" s="13" t="s">
        <v>1087</v>
      </c>
      <c r="C357" s="13" t="s">
        <v>600</v>
      </c>
      <c r="D357" s="13"/>
      <c r="E357" s="13"/>
      <c r="F357" s="14">
        <v>5728785.3499999996</v>
      </c>
    </row>
    <row r="358" spans="1:6" x14ac:dyDescent="0.3">
      <c r="A358" s="21">
        <v>46112</v>
      </c>
      <c r="B358" s="13" t="s">
        <v>1088</v>
      </c>
      <c r="C358" s="13" t="s">
        <v>600</v>
      </c>
      <c r="D358" s="13"/>
      <c r="E358" s="14">
        <v>15000000</v>
      </c>
      <c r="F358" s="13"/>
    </row>
    <row r="359" spans="1:6" x14ac:dyDescent="0.3">
      <c r="D359" s="23" t="s">
        <v>593</v>
      </c>
      <c r="E359" s="19">
        <v>423605771.62999988</v>
      </c>
      <c r="F359" s="19">
        <v>433612748.57999998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3"/>
  <sheetViews>
    <sheetView workbookViewId="0"/>
  </sheetViews>
  <sheetFormatPr baseColWidth="10" defaultColWidth="8.88671875" defaultRowHeight="14.4" outlineLevelRow="1" x14ac:dyDescent="0.3"/>
  <cols>
    <col min="1" max="1" width="14" customWidth="1"/>
    <col min="2" max="2" width="50" customWidth="1"/>
    <col min="3" max="3" width="45" customWidth="1"/>
    <col min="4" max="4" width="20" customWidth="1"/>
  </cols>
  <sheetData>
    <row r="1" spans="1:4" ht="17.399999999999999" x14ac:dyDescent="0.3">
      <c r="A1" s="42" t="s">
        <v>1089</v>
      </c>
      <c r="B1" s="38"/>
      <c r="C1" s="38"/>
      <c r="D1" s="38"/>
    </row>
    <row r="3" spans="1:4" ht="15.6" x14ac:dyDescent="0.3">
      <c r="A3" s="43" t="s">
        <v>33</v>
      </c>
      <c r="B3" s="38"/>
      <c r="C3" s="38"/>
      <c r="D3" s="38"/>
    </row>
    <row r="4" spans="1:4" x14ac:dyDescent="0.3">
      <c r="A4" s="20" t="s">
        <v>42</v>
      </c>
      <c r="B4" s="20" t="s">
        <v>1090</v>
      </c>
      <c r="C4" s="20" t="s">
        <v>1091</v>
      </c>
      <c r="D4" s="20" t="s">
        <v>1092</v>
      </c>
    </row>
    <row r="5" spans="1:4" hidden="1" outlineLevel="1" x14ac:dyDescent="0.3">
      <c r="A5" s="21">
        <v>46084</v>
      </c>
      <c r="B5" s="13" t="s">
        <v>72</v>
      </c>
      <c r="C5" s="13"/>
      <c r="D5" s="14">
        <v>18463.2</v>
      </c>
    </row>
    <row r="6" spans="1:4" hidden="1" outlineLevel="1" x14ac:dyDescent="0.3">
      <c r="A6" s="21">
        <v>46084</v>
      </c>
      <c r="B6" s="13" t="s">
        <v>94</v>
      </c>
      <c r="C6" s="13"/>
      <c r="D6" s="14">
        <v>1485</v>
      </c>
    </row>
    <row r="7" spans="1:4" hidden="1" outlineLevel="1" x14ac:dyDescent="0.3">
      <c r="A7" s="21">
        <v>46086</v>
      </c>
      <c r="B7" s="13" t="s">
        <v>132</v>
      </c>
      <c r="C7" s="13"/>
      <c r="D7" s="14">
        <v>120</v>
      </c>
    </row>
    <row r="8" spans="1:4" hidden="1" outlineLevel="1" x14ac:dyDescent="0.3">
      <c r="A8" s="21">
        <v>46086</v>
      </c>
      <c r="B8" s="13" t="s">
        <v>134</v>
      </c>
      <c r="C8" s="13"/>
      <c r="D8" s="14">
        <v>120</v>
      </c>
    </row>
    <row r="9" spans="1:4" hidden="1" outlineLevel="1" x14ac:dyDescent="0.3">
      <c r="A9" s="21">
        <v>46086</v>
      </c>
      <c r="B9" s="13" t="s">
        <v>136</v>
      </c>
      <c r="C9" s="13"/>
      <c r="D9" s="14">
        <v>720</v>
      </c>
    </row>
    <row r="10" spans="1:4" hidden="1" outlineLevel="1" x14ac:dyDescent="0.3">
      <c r="A10" s="21">
        <v>46086</v>
      </c>
      <c r="B10" s="13" t="s">
        <v>138</v>
      </c>
      <c r="C10" s="13"/>
      <c r="D10" s="14">
        <v>1485</v>
      </c>
    </row>
    <row r="11" spans="1:4" hidden="1" outlineLevel="1" x14ac:dyDescent="0.3">
      <c r="A11" s="21">
        <v>46086</v>
      </c>
      <c r="B11" s="13" t="s">
        <v>140</v>
      </c>
      <c r="C11" s="13"/>
      <c r="D11" s="14">
        <v>1485</v>
      </c>
    </row>
    <row r="12" spans="1:4" hidden="1" outlineLevel="1" x14ac:dyDescent="0.3">
      <c r="A12" s="21">
        <v>46086</v>
      </c>
      <c r="B12" s="13" t="s">
        <v>142</v>
      </c>
      <c r="C12" s="13"/>
      <c r="D12" s="14">
        <v>1485</v>
      </c>
    </row>
    <row r="13" spans="1:4" hidden="1" outlineLevel="1" x14ac:dyDescent="0.3">
      <c r="A13" s="21">
        <v>46086</v>
      </c>
      <c r="B13" s="13" t="s">
        <v>144</v>
      </c>
      <c r="C13" s="13"/>
      <c r="D13" s="14">
        <v>1485</v>
      </c>
    </row>
    <row r="14" spans="1:4" hidden="1" outlineLevel="1" x14ac:dyDescent="0.3">
      <c r="A14" s="21">
        <v>46090</v>
      </c>
      <c r="B14" s="13" t="s">
        <v>72</v>
      </c>
      <c r="C14" s="13"/>
      <c r="D14" s="14">
        <v>4381.07</v>
      </c>
    </row>
    <row r="15" spans="1:4" hidden="1" outlineLevel="1" x14ac:dyDescent="0.3">
      <c r="A15" s="21">
        <v>46090</v>
      </c>
      <c r="B15" s="13" t="s">
        <v>180</v>
      </c>
      <c r="C15" s="13"/>
      <c r="D15" s="14">
        <v>720</v>
      </c>
    </row>
    <row r="16" spans="1:4" hidden="1" outlineLevel="1" x14ac:dyDescent="0.3">
      <c r="A16" s="21">
        <v>46091</v>
      </c>
      <c r="B16" s="13" t="s">
        <v>72</v>
      </c>
      <c r="C16" s="13"/>
      <c r="D16" s="14">
        <v>8260</v>
      </c>
    </row>
    <row r="17" spans="1:4" hidden="1" outlineLevel="1" x14ac:dyDescent="0.3">
      <c r="A17" s="21">
        <v>46091</v>
      </c>
      <c r="B17" s="13" t="s">
        <v>246</v>
      </c>
      <c r="C17" s="13"/>
      <c r="D17" s="14">
        <v>315</v>
      </c>
    </row>
    <row r="18" spans="1:4" hidden="1" outlineLevel="1" x14ac:dyDescent="0.3">
      <c r="A18" s="21">
        <v>46091</v>
      </c>
      <c r="B18" s="13" t="s">
        <v>248</v>
      </c>
      <c r="C18" s="13"/>
      <c r="D18" s="14">
        <v>315</v>
      </c>
    </row>
    <row r="19" spans="1:4" hidden="1" outlineLevel="1" x14ac:dyDescent="0.3">
      <c r="A19" s="21">
        <v>46091</v>
      </c>
      <c r="B19" s="13" t="s">
        <v>250</v>
      </c>
      <c r="C19" s="13"/>
      <c r="D19" s="14">
        <v>315</v>
      </c>
    </row>
    <row r="20" spans="1:4" hidden="1" outlineLevel="1" x14ac:dyDescent="0.3">
      <c r="A20" s="21">
        <v>46091</v>
      </c>
      <c r="B20" s="13" t="s">
        <v>252</v>
      </c>
      <c r="C20" s="13"/>
      <c r="D20" s="14">
        <v>720</v>
      </c>
    </row>
    <row r="21" spans="1:4" hidden="1" outlineLevel="1" x14ac:dyDescent="0.3">
      <c r="A21" s="21">
        <v>46091</v>
      </c>
      <c r="B21" s="13" t="s">
        <v>254</v>
      </c>
      <c r="C21" s="13"/>
      <c r="D21" s="14">
        <v>720</v>
      </c>
    </row>
    <row r="22" spans="1:4" hidden="1" outlineLevel="1" x14ac:dyDescent="0.3">
      <c r="A22" s="21">
        <v>46091</v>
      </c>
      <c r="B22" s="13" t="s">
        <v>256</v>
      </c>
      <c r="C22" s="13"/>
      <c r="D22" s="14">
        <v>720</v>
      </c>
    </row>
    <row r="23" spans="1:4" hidden="1" outlineLevel="1" x14ac:dyDescent="0.3">
      <c r="A23" s="21">
        <v>46091</v>
      </c>
      <c r="B23" s="13" t="s">
        <v>258</v>
      </c>
      <c r="C23" s="13"/>
      <c r="D23" s="14">
        <v>720</v>
      </c>
    </row>
    <row r="24" spans="1:4" hidden="1" outlineLevel="1" x14ac:dyDescent="0.3">
      <c r="A24" s="21">
        <v>46091</v>
      </c>
      <c r="B24" s="13" t="s">
        <v>260</v>
      </c>
      <c r="C24" s="13"/>
      <c r="D24" s="14">
        <v>720</v>
      </c>
    </row>
    <row r="25" spans="1:4" hidden="1" outlineLevel="1" x14ac:dyDescent="0.3">
      <c r="A25" s="21">
        <v>46091</v>
      </c>
      <c r="B25" s="13" t="s">
        <v>262</v>
      </c>
      <c r="C25" s="13"/>
      <c r="D25" s="14">
        <v>720</v>
      </c>
    </row>
    <row r="26" spans="1:4" hidden="1" outlineLevel="1" x14ac:dyDescent="0.3">
      <c r="A26" s="21">
        <v>46091</v>
      </c>
      <c r="B26" s="13" t="s">
        <v>264</v>
      </c>
      <c r="C26" s="13"/>
      <c r="D26" s="14">
        <v>1485</v>
      </c>
    </row>
    <row r="27" spans="1:4" hidden="1" outlineLevel="1" x14ac:dyDescent="0.3">
      <c r="A27" s="21">
        <v>46091</v>
      </c>
      <c r="B27" s="13" t="s">
        <v>266</v>
      </c>
      <c r="C27" s="13"/>
      <c r="D27" s="14">
        <v>1485</v>
      </c>
    </row>
    <row r="28" spans="1:4" hidden="1" outlineLevel="1" x14ac:dyDescent="0.3">
      <c r="A28" s="21">
        <v>46091</v>
      </c>
      <c r="B28" s="13" t="s">
        <v>268</v>
      </c>
      <c r="C28" s="13"/>
      <c r="D28" s="14">
        <v>1485</v>
      </c>
    </row>
    <row r="29" spans="1:4" hidden="1" outlineLevel="1" x14ac:dyDescent="0.3">
      <c r="A29" s="21">
        <v>46093</v>
      </c>
      <c r="B29" s="13" t="s">
        <v>72</v>
      </c>
      <c r="C29" s="13"/>
      <c r="D29" s="14">
        <v>13904.16</v>
      </c>
    </row>
    <row r="30" spans="1:4" hidden="1" outlineLevel="1" x14ac:dyDescent="0.3">
      <c r="A30" s="21">
        <v>46093</v>
      </c>
      <c r="B30" s="13" t="s">
        <v>310</v>
      </c>
      <c r="C30" s="13"/>
      <c r="D30" s="14">
        <v>720</v>
      </c>
    </row>
    <row r="31" spans="1:4" hidden="1" outlineLevel="1" x14ac:dyDescent="0.3">
      <c r="A31" s="21">
        <v>46093</v>
      </c>
      <c r="B31" s="13" t="s">
        <v>312</v>
      </c>
      <c r="C31" s="13"/>
      <c r="D31" s="14">
        <v>1485</v>
      </c>
    </row>
    <row r="32" spans="1:4" hidden="1" outlineLevel="1" x14ac:dyDescent="0.3">
      <c r="A32" s="21">
        <v>46093</v>
      </c>
      <c r="B32" s="13" t="s">
        <v>314</v>
      </c>
      <c r="C32" s="13"/>
      <c r="D32" s="14">
        <v>1485</v>
      </c>
    </row>
    <row r="33" spans="1:4" hidden="1" outlineLevel="1" x14ac:dyDescent="0.3">
      <c r="A33" s="21">
        <v>46093</v>
      </c>
      <c r="B33" s="13" t="s">
        <v>316</v>
      </c>
      <c r="C33" s="13"/>
      <c r="D33" s="14">
        <v>1485</v>
      </c>
    </row>
    <row r="34" spans="1:4" hidden="1" outlineLevel="1" x14ac:dyDescent="0.3">
      <c r="A34" s="21">
        <v>46093</v>
      </c>
      <c r="B34" s="13" t="s">
        <v>318</v>
      </c>
      <c r="C34" s="13"/>
      <c r="D34" s="14">
        <v>1485</v>
      </c>
    </row>
    <row r="35" spans="1:4" hidden="1" outlineLevel="1" x14ac:dyDescent="0.3">
      <c r="A35" s="21">
        <v>46093</v>
      </c>
      <c r="B35" s="13" t="s">
        <v>320</v>
      </c>
      <c r="C35" s="13"/>
      <c r="D35" s="14">
        <v>1485</v>
      </c>
    </row>
    <row r="36" spans="1:4" hidden="1" outlineLevel="1" x14ac:dyDescent="0.3">
      <c r="A36" s="21">
        <v>46094</v>
      </c>
      <c r="B36" s="13" t="s">
        <v>339</v>
      </c>
      <c r="C36" s="13"/>
      <c r="D36" s="14">
        <v>1485</v>
      </c>
    </row>
    <row r="37" spans="1:4" hidden="1" outlineLevel="1" x14ac:dyDescent="0.3">
      <c r="A37" s="21">
        <v>46098</v>
      </c>
      <c r="B37" s="13" t="s">
        <v>372</v>
      </c>
      <c r="C37" s="13"/>
      <c r="D37" s="14">
        <v>315</v>
      </c>
    </row>
    <row r="38" spans="1:4" hidden="1" outlineLevel="1" x14ac:dyDescent="0.3">
      <c r="A38" s="21">
        <v>46098</v>
      </c>
      <c r="B38" s="13" t="s">
        <v>374</v>
      </c>
      <c r="C38" s="13"/>
      <c r="D38" s="14">
        <v>720</v>
      </c>
    </row>
    <row r="39" spans="1:4" hidden="1" outlineLevel="1" x14ac:dyDescent="0.3">
      <c r="A39" s="21">
        <v>46098</v>
      </c>
      <c r="B39" s="13" t="s">
        <v>376</v>
      </c>
      <c r="C39" s="13"/>
      <c r="D39" s="14">
        <v>720</v>
      </c>
    </row>
    <row r="40" spans="1:4" hidden="1" outlineLevel="1" x14ac:dyDescent="0.3">
      <c r="A40" s="21">
        <v>46098</v>
      </c>
      <c r="B40" s="13" t="s">
        <v>378</v>
      </c>
      <c r="C40" s="13"/>
      <c r="D40" s="14">
        <v>720</v>
      </c>
    </row>
    <row r="41" spans="1:4" hidden="1" outlineLevel="1" x14ac:dyDescent="0.3">
      <c r="A41" s="21">
        <v>46098</v>
      </c>
      <c r="B41" s="13" t="s">
        <v>380</v>
      </c>
      <c r="C41" s="13"/>
      <c r="D41" s="14">
        <v>1485</v>
      </c>
    </row>
    <row r="42" spans="1:4" hidden="1" outlineLevel="1" x14ac:dyDescent="0.3">
      <c r="A42" s="21">
        <v>46099</v>
      </c>
      <c r="B42" s="13" t="s">
        <v>72</v>
      </c>
      <c r="C42" s="13"/>
      <c r="D42" s="14">
        <v>41472.959999999999</v>
      </c>
    </row>
    <row r="43" spans="1:4" hidden="1" outlineLevel="1" x14ac:dyDescent="0.3">
      <c r="A43" s="21">
        <v>46099</v>
      </c>
      <c r="B43" s="13" t="s">
        <v>394</v>
      </c>
      <c r="C43" s="13"/>
      <c r="D43" s="14">
        <v>1485</v>
      </c>
    </row>
    <row r="44" spans="1:4" hidden="1" outlineLevel="1" x14ac:dyDescent="0.3">
      <c r="A44" s="21">
        <v>46100</v>
      </c>
      <c r="B44" s="13" t="s">
        <v>72</v>
      </c>
      <c r="C44" s="13"/>
      <c r="D44" s="14">
        <v>2835</v>
      </c>
    </row>
    <row r="45" spans="1:4" hidden="1" outlineLevel="1" x14ac:dyDescent="0.3">
      <c r="A45" s="21">
        <v>46100</v>
      </c>
      <c r="B45" s="13" t="s">
        <v>411</v>
      </c>
      <c r="C45" s="13"/>
      <c r="D45" s="14">
        <v>720</v>
      </c>
    </row>
    <row r="46" spans="1:4" hidden="1" outlineLevel="1" x14ac:dyDescent="0.3">
      <c r="A46" s="21">
        <v>46100</v>
      </c>
      <c r="B46" s="13" t="s">
        <v>413</v>
      </c>
      <c r="C46" s="13"/>
      <c r="D46" s="14">
        <v>720</v>
      </c>
    </row>
    <row r="47" spans="1:4" hidden="1" outlineLevel="1" x14ac:dyDescent="0.3">
      <c r="A47" s="21">
        <v>46100</v>
      </c>
      <c r="B47" s="13" t="s">
        <v>415</v>
      </c>
      <c r="C47" s="13"/>
      <c r="D47" s="14">
        <v>720</v>
      </c>
    </row>
    <row r="48" spans="1:4" hidden="1" outlineLevel="1" x14ac:dyDescent="0.3">
      <c r="A48" s="21">
        <v>46100</v>
      </c>
      <c r="B48" s="13" t="s">
        <v>417</v>
      </c>
      <c r="C48" s="13"/>
      <c r="D48" s="14">
        <v>1485</v>
      </c>
    </row>
    <row r="49" spans="1:4" hidden="1" outlineLevel="1" x14ac:dyDescent="0.3">
      <c r="A49" s="21">
        <v>46101</v>
      </c>
      <c r="B49" s="13" t="s">
        <v>72</v>
      </c>
      <c r="C49" s="13"/>
      <c r="D49" s="14">
        <v>2835</v>
      </c>
    </row>
    <row r="50" spans="1:4" hidden="1" outlineLevel="1" x14ac:dyDescent="0.3">
      <c r="A50" s="21">
        <v>46106</v>
      </c>
      <c r="B50" s="13" t="s">
        <v>463</v>
      </c>
      <c r="C50" s="13"/>
      <c r="D50" s="14">
        <v>720</v>
      </c>
    </row>
    <row r="51" spans="1:4" hidden="1" outlineLevel="1" x14ac:dyDescent="0.3">
      <c r="A51" s="21">
        <v>46106</v>
      </c>
      <c r="B51" s="13" t="s">
        <v>465</v>
      </c>
      <c r="C51" s="13"/>
      <c r="D51" s="14">
        <v>720</v>
      </c>
    </row>
    <row r="52" spans="1:4" hidden="1" outlineLevel="1" x14ac:dyDescent="0.3">
      <c r="A52" s="21">
        <v>46106</v>
      </c>
      <c r="B52" s="13" t="s">
        <v>467</v>
      </c>
      <c r="C52" s="13"/>
      <c r="D52" s="14">
        <v>1485</v>
      </c>
    </row>
    <row r="53" spans="1:4" hidden="1" outlineLevel="1" x14ac:dyDescent="0.3">
      <c r="A53" s="21">
        <v>46106</v>
      </c>
      <c r="B53" s="13" t="s">
        <v>469</v>
      </c>
      <c r="C53" s="13"/>
      <c r="D53" s="14">
        <v>1485</v>
      </c>
    </row>
    <row r="54" spans="1:4" hidden="1" outlineLevel="1" x14ac:dyDescent="0.3">
      <c r="A54" s="21">
        <v>46106</v>
      </c>
      <c r="B54" s="13" t="s">
        <v>471</v>
      </c>
      <c r="C54" s="13"/>
      <c r="D54" s="14">
        <v>1485</v>
      </c>
    </row>
    <row r="55" spans="1:4" hidden="1" outlineLevel="1" x14ac:dyDescent="0.3">
      <c r="A55" s="21">
        <v>46106</v>
      </c>
      <c r="B55" s="13" t="s">
        <v>473</v>
      </c>
      <c r="C55" s="13"/>
      <c r="D55" s="14">
        <v>1485</v>
      </c>
    </row>
    <row r="56" spans="1:4" hidden="1" outlineLevel="1" x14ac:dyDescent="0.3">
      <c r="A56" s="21">
        <v>46106</v>
      </c>
      <c r="B56" s="13" t="s">
        <v>475</v>
      </c>
      <c r="C56" s="13"/>
      <c r="D56" s="14">
        <v>1485</v>
      </c>
    </row>
    <row r="57" spans="1:4" hidden="1" outlineLevel="1" x14ac:dyDescent="0.3">
      <c r="A57" s="21">
        <v>46106</v>
      </c>
      <c r="B57" s="13" t="s">
        <v>477</v>
      </c>
      <c r="C57" s="13"/>
      <c r="D57" s="14">
        <v>1485</v>
      </c>
    </row>
    <row r="58" spans="1:4" hidden="1" outlineLevel="1" x14ac:dyDescent="0.3">
      <c r="A58" s="21">
        <v>46107</v>
      </c>
      <c r="B58" s="13" t="s">
        <v>72</v>
      </c>
      <c r="C58" s="13"/>
      <c r="D58" s="14">
        <v>24013.439999999999</v>
      </c>
    </row>
    <row r="59" spans="1:4" hidden="1" outlineLevel="1" x14ac:dyDescent="0.3">
      <c r="A59" s="21">
        <v>46111</v>
      </c>
      <c r="B59" s="13" t="s">
        <v>509</v>
      </c>
      <c r="C59" s="13"/>
      <c r="D59" s="14">
        <v>57500</v>
      </c>
    </row>
    <row r="60" spans="1:4" hidden="1" outlineLevel="1" x14ac:dyDescent="0.3">
      <c r="A60" s="21">
        <v>46111</v>
      </c>
      <c r="B60" s="13" t="s">
        <v>510</v>
      </c>
      <c r="C60" s="13"/>
      <c r="D60" s="14">
        <v>13825</v>
      </c>
    </row>
    <row r="61" spans="1:4" hidden="1" outlineLevel="1" x14ac:dyDescent="0.3">
      <c r="A61" s="21">
        <v>46111</v>
      </c>
      <c r="B61" s="13" t="s">
        <v>527</v>
      </c>
      <c r="C61" s="13"/>
      <c r="D61" s="14">
        <v>720</v>
      </c>
    </row>
    <row r="62" spans="1:4" hidden="1" outlineLevel="1" x14ac:dyDescent="0.3">
      <c r="A62" s="21">
        <v>46111</v>
      </c>
      <c r="B62" s="13" t="s">
        <v>529</v>
      </c>
      <c r="C62" s="13"/>
      <c r="D62" s="14">
        <v>1485</v>
      </c>
    </row>
    <row r="63" spans="1:4" hidden="1" outlineLevel="1" x14ac:dyDescent="0.3">
      <c r="A63" s="21">
        <v>46111</v>
      </c>
      <c r="B63" s="13" t="s">
        <v>531</v>
      </c>
      <c r="C63" s="13"/>
      <c r="D63" s="14">
        <v>1485</v>
      </c>
    </row>
    <row r="64" spans="1:4" x14ac:dyDescent="0.3">
      <c r="A64" s="22"/>
      <c r="B64" s="22"/>
      <c r="C64" s="16" t="s">
        <v>1093</v>
      </c>
      <c r="D64" s="17">
        <f>SUM(D5:D63)</f>
        <v>239074.83000000002</v>
      </c>
    </row>
    <row r="66" spans="1:4" ht="15.6" x14ac:dyDescent="0.3">
      <c r="A66" s="43" t="s">
        <v>37</v>
      </c>
      <c r="B66" s="38"/>
      <c r="C66" s="38"/>
      <c r="D66" s="38"/>
    </row>
    <row r="67" spans="1:4" x14ac:dyDescent="0.3">
      <c r="A67" s="20" t="s">
        <v>42</v>
      </c>
      <c r="B67" s="20" t="s">
        <v>1090</v>
      </c>
      <c r="C67" s="20" t="s">
        <v>1091</v>
      </c>
      <c r="D67" s="20" t="s">
        <v>1092</v>
      </c>
    </row>
    <row r="68" spans="1:4" hidden="1" outlineLevel="1" x14ac:dyDescent="0.3">
      <c r="A68" s="21">
        <v>46084</v>
      </c>
      <c r="B68" s="13" t="s">
        <v>74</v>
      </c>
      <c r="C68" s="13"/>
      <c r="D68" s="14">
        <v>3877.27</v>
      </c>
    </row>
    <row r="69" spans="1:4" hidden="1" outlineLevel="1" x14ac:dyDescent="0.3">
      <c r="A69" s="21">
        <v>46084</v>
      </c>
      <c r="B69" s="13" t="s">
        <v>95</v>
      </c>
      <c r="C69" s="13"/>
      <c r="D69" s="14">
        <v>311.85000000000002</v>
      </c>
    </row>
    <row r="70" spans="1:4" hidden="1" outlineLevel="1" x14ac:dyDescent="0.3">
      <c r="A70" s="21">
        <v>46086</v>
      </c>
      <c r="B70" s="13" t="s">
        <v>133</v>
      </c>
      <c r="C70" s="13"/>
      <c r="D70" s="14">
        <v>25.2</v>
      </c>
    </row>
    <row r="71" spans="1:4" hidden="1" outlineLevel="1" x14ac:dyDescent="0.3">
      <c r="A71" s="21">
        <v>46086</v>
      </c>
      <c r="B71" s="13" t="s">
        <v>135</v>
      </c>
      <c r="C71" s="13"/>
      <c r="D71" s="14">
        <v>25.2</v>
      </c>
    </row>
    <row r="72" spans="1:4" hidden="1" outlineLevel="1" x14ac:dyDescent="0.3">
      <c r="A72" s="21">
        <v>46086</v>
      </c>
      <c r="B72" s="13" t="s">
        <v>137</v>
      </c>
      <c r="C72" s="13"/>
      <c r="D72" s="14">
        <v>151.19999999999999</v>
      </c>
    </row>
    <row r="73" spans="1:4" hidden="1" outlineLevel="1" x14ac:dyDescent="0.3">
      <c r="A73" s="21">
        <v>46086</v>
      </c>
      <c r="B73" s="13" t="s">
        <v>139</v>
      </c>
      <c r="C73" s="13"/>
      <c r="D73" s="14">
        <v>311.85000000000002</v>
      </c>
    </row>
    <row r="74" spans="1:4" hidden="1" outlineLevel="1" x14ac:dyDescent="0.3">
      <c r="A74" s="21">
        <v>46086</v>
      </c>
      <c r="B74" s="13" t="s">
        <v>141</v>
      </c>
      <c r="C74" s="13"/>
      <c r="D74" s="14">
        <v>311.85000000000002</v>
      </c>
    </row>
    <row r="75" spans="1:4" hidden="1" outlineLevel="1" x14ac:dyDescent="0.3">
      <c r="A75" s="21">
        <v>46086</v>
      </c>
      <c r="B75" s="13" t="s">
        <v>143</v>
      </c>
      <c r="C75" s="13"/>
      <c r="D75" s="14">
        <v>311.85000000000002</v>
      </c>
    </row>
    <row r="76" spans="1:4" hidden="1" outlineLevel="1" x14ac:dyDescent="0.3">
      <c r="A76" s="21">
        <v>46086</v>
      </c>
      <c r="B76" s="13" t="s">
        <v>145</v>
      </c>
      <c r="C76" s="13"/>
      <c r="D76" s="14">
        <v>311.85000000000002</v>
      </c>
    </row>
    <row r="77" spans="1:4" hidden="1" outlineLevel="1" x14ac:dyDescent="0.3">
      <c r="A77" s="21">
        <v>46090</v>
      </c>
      <c r="B77" s="13" t="s">
        <v>74</v>
      </c>
      <c r="C77" s="13"/>
      <c r="D77" s="14">
        <v>920.02</v>
      </c>
    </row>
    <row r="78" spans="1:4" hidden="1" outlineLevel="1" x14ac:dyDescent="0.3">
      <c r="A78" s="21">
        <v>46090</v>
      </c>
      <c r="B78" s="13" t="s">
        <v>181</v>
      </c>
      <c r="C78" s="13"/>
      <c r="D78" s="14">
        <v>151.19999999999999</v>
      </c>
    </row>
    <row r="79" spans="1:4" hidden="1" outlineLevel="1" x14ac:dyDescent="0.3">
      <c r="A79" s="21">
        <v>46091</v>
      </c>
      <c r="B79" s="13" t="s">
        <v>74</v>
      </c>
      <c r="C79" s="13"/>
      <c r="D79" s="14">
        <v>1734.6</v>
      </c>
    </row>
    <row r="80" spans="1:4" hidden="1" outlineLevel="1" x14ac:dyDescent="0.3">
      <c r="A80" s="21">
        <v>46091</v>
      </c>
      <c r="B80" s="13" t="s">
        <v>247</v>
      </c>
      <c r="C80" s="13"/>
      <c r="D80" s="14">
        <v>66.150000000000006</v>
      </c>
    </row>
    <row r="81" spans="1:4" hidden="1" outlineLevel="1" x14ac:dyDescent="0.3">
      <c r="A81" s="21">
        <v>46091</v>
      </c>
      <c r="B81" s="13" t="s">
        <v>249</v>
      </c>
      <c r="C81" s="13"/>
      <c r="D81" s="14">
        <v>66.150000000000006</v>
      </c>
    </row>
    <row r="82" spans="1:4" hidden="1" outlineLevel="1" x14ac:dyDescent="0.3">
      <c r="A82" s="21">
        <v>46091</v>
      </c>
      <c r="B82" s="13" t="s">
        <v>251</v>
      </c>
      <c r="C82" s="13"/>
      <c r="D82" s="14">
        <v>66.150000000000006</v>
      </c>
    </row>
    <row r="83" spans="1:4" hidden="1" outlineLevel="1" x14ac:dyDescent="0.3">
      <c r="A83" s="21">
        <v>46091</v>
      </c>
      <c r="B83" s="13" t="s">
        <v>253</v>
      </c>
      <c r="C83" s="13"/>
      <c r="D83" s="14">
        <v>151.19999999999999</v>
      </c>
    </row>
    <row r="84" spans="1:4" hidden="1" outlineLevel="1" x14ac:dyDescent="0.3">
      <c r="A84" s="21">
        <v>46091</v>
      </c>
      <c r="B84" s="13" t="s">
        <v>255</v>
      </c>
      <c r="C84" s="13"/>
      <c r="D84" s="14">
        <v>151.19999999999999</v>
      </c>
    </row>
    <row r="85" spans="1:4" hidden="1" outlineLevel="1" x14ac:dyDescent="0.3">
      <c r="A85" s="21">
        <v>46091</v>
      </c>
      <c r="B85" s="13" t="s">
        <v>257</v>
      </c>
      <c r="C85" s="13"/>
      <c r="D85" s="14">
        <v>151.19999999999999</v>
      </c>
    </row>
    <row r="86" spans="1:4" hidden="1" outlineLevel="1" x14ac:dyDescent="0.3">
      <c r="A86" s="21">
        <v>46091</v>
      </c>
      <c r="B86" s="13" t="s">
        <v>259</v>
      </c>
      <c r="C86" s="13"/>
      <c r="D86" s="14">
        <v>151.19999999999999</v>
      </c>
    </row>
    <row r="87" spans="1:4" hidden="1" outlineLevel="1" x14ac:dyDescent="0.3">
      <c r="A87" s="21">
        <v>46091</v>
      </c>
      <c r="B87" s="13" t="s">
        <v>261</v>
      </c>
      <c r="C87" s="13"/>
      <c r="D87" s="14">
        <v>151.19999999999999</v>
      </c>
    </row>
    <row r="88" spans="1:4" hidden="1" outlineLevel="1" x14ac:dyDescent="0.3">
      <c r="A88" s="21">
        <v>46091</v>
      </c>
      <c r="B88" s="13" t="s">
        <v>263</v>
      </c>
      <c r="C88" s="13"/>
      <c r="D88" s="14">
        <v>151.19999999999999</v>
      </c>
    </row>
    <row r="89" spans="1:4" hidden="1" outlineLevel="1" x14ac:dyDescent="0.3">
      <c r="A89" s="21">
        <v>46091</v>
      </c>
      <c r="B89" s="13" t="s">
        <v>265</v>
      </c>
      <c r="C89" s="13"/>
      <c r="D89" s="14">
        <v>311.85000000000002</v>
      </c>
    </row>
    <row r="90" spans="1:4" hidden="1" outlineLevel="1" x14ac:dyDescent="0.3">
      <c r="A90" s="21">
        <v>46091</v>
      </c>
      <c r="B90" s="13" t="s">
        <v>267</v>
      </c>
      <c r="C90" s="13"/>
      <c r="D90" s="14">
        <v>311.85000000000002</v>
      </c>
    </row>
    <row r="91" spans="1:4" hidden="1" outlineLevel="1" x14ac:dyDescent="0.3">
      <c r="A91" s="21">
        <v>46091</v>
      </c>
      <c r="B91" s="13" t="s">
        <v>269</v>
      </c>
      <c r="C91" s="13"/>
      <c r="D91" s="14">
        <v>311.85000000000002</v>
      </c>
    </row>
    <row r="92" spans="1:4" hidden="1" outlineLevel="1" x14ac:dyDescent="0.3">
      <c r="A92" s="21">
        <v>46093</v>
      </c>
      <c r="B92" s="13" t="s">
        <v>74</v>
      </c>
      <c r="C92" s="13"/>
      <c r="D92" s="14">
        <v>2919.87</v>
      </c>
    </row>
    <row r="93" spans="1:4" hidden="1" outlineLevel="1" x14ac:dyDescent="0.3">
      <c r="A93" s="21">
        <v>46093</v>
      </c>
      <c r="B93" s="13" t="s">
        <v>311</v>
      </c>
      <c r="C93" s="13"/>
      <c r="D93" s="14">
        <v>151.19999999999999</v>
      </c>
    </row>
    <row r="94" spans="1:4" hidden="1" outlineLevel="1" x14ac:dyDescent="0.3">
      <c r="A94" s="21">
        <v>46093</v>
      </c>
      <c r="B94" s="13" t="s">
        <v>313</v>
      </c>
      <c r="C94" s="13"/>
      <c r="D94" s="14">
        <v>311.85000000000002</v>
      </c>
    </row>
    <row r="95" spans="1:4" hidden="1" outlineLevel="1" x14ac:dyDescent="0.3">
      <c r="A95" s="21">
        <v>46093</v>
      </c>
      <c r="B95" s="13" t="s">
        <v>315</v>
      </c>
      <c r="C95" s="13"/>
      <c r="D95" s="14">
        <v>311.85000000000002</v>
      </c>
    </row>
    <row r="96" spans="1:4" hidden="1" outlineLevel="1" x14ac:dyDescent="0.3">
      <c r="A96" s="21">
        <v>46093</v>
      </c>
      <c r="B96" s="13" t="s">
        <v>317</v>
      </c>
      <c r="C96" s="13"/>
      <c r="D96" s="14">
        <v>311.85000000000002</v>
      </c>
    </row>
    <row r="97" spans="1:4" hidden="1" outlineLevel="1" x14ac:dyDescent="0.3">
      <c r="A97" s="21">
        <v>46093</v>
      </c>
      <c r="B97" s="13" t="s">
        <v>319</v>
      </c>
      <c r="C97" s="13"/>
      <c r="D97" s="14">
        <v>311.85000000000002</v>
      </c>
    </row>
    <row r="98" spans="1:4" hidden="1" outlineLevel="1" x14ac:dyDescent="0.3">
      <c r="A98" s="21">
        <v>46093</v>
      </c>
      <c r="B98" s="13" t="s">
        <v>321</v>
      </c>
      <c r="C98" s="13"/>
      <c r="D98" s="14">
        <v>311.85000000000002</v>
      </c>
    </row>
    <row r="99" spans="1:4" hidden="1" outlineLevel="1" x14ac:dyDescent="0.3">
      <c r="A99" s="21">
        <v>46094</v>
      </c>
      <c r="B99" s="13" t="s">
        <v>340</v>
      </c>
      <c r="C99" s="13"/>
      <c r="D99" s="14">
        <v>311.85000000000002</v>
      </c>
    </row>
    <row r="100" spans="1:4" hidden="1" outlineLevel="1" x14ac:dyDescent="0.3">
      <c r="A100" s="21">
        <v>46098</v>
      </c>
      <c r="B100" s="13" t="s">
        <v>373</v>
      </c>
      <c r="C100" s="13"/>
      <c r="D100" s="14">
        <v>66.150000000000006</v>
      </c>
    </row>
    <row r="101" spans="1:4" hidden="1" outlineLevel="1" x14ac:dyDescent="0.3">
      <c r="A101" s="21">
        <v>46098</v>
      </c>
      <c r="B101" s="13" t="s">
        <v>375</v>
      </c>
      <c r="C101" s="13"/>
      <c r="D101" s="14">
        <v>151.19999999999999</v>
      </c>
    </row>
    <row r="102" spans="1:4" hidden="1" outlineLevel="1" x14ac:dyDescent="0.3">
      <c r="A102" s="21">
        <v>46098</v>
      </c>
      <c r="B102" s="13" t="s">
        <v>377</v>
      </c>
      <c r="C102" s="13"/>
      <c r="D102" s="14">
        <v>151.19999999999999</v>
      </c>
    </row>
    <row r="103" spans="1:4" hidden="1" outlineLevel="1" x14ac:dyDescent="0.3">
      <c r="A103" s="21">
        <v>46098</v>
      </c>
      <c r="B103" s="13" t="s">
        <v>379</v>
      </c>
      <c r="C103" s="13"/>
      <c r="D103" s="14">
        <v>151.19999999999999</v>
      </c>
    </row>
    <row r="104" spans="1:4" hidden="1" outlineLevel="1" x14ac:dyDescent="0.3">
      <c r="A104" s="21">
        <v>46098</v>
      </c>
      <c r="B104" s="13" t="s">
        <v>381</v>
      </c>
      <c r="C104" s="13"/>
      <c r="D104" s="14">
        <v>311.85000000000002</v>
      </c>
    </row>
    <row r="105" spans="1:4" hidden="1" outlineLevel="1" x14ac:dyDescent="0.3">
      <c r="A105" s="21">
        <v>46099</v>
      </c>
      <c r="B105" s="13" t="s">
        <v>74</v>
      </c>
      <c r="C105" s="13"/>
      <c r="D105" s="14">
        <v>8709.32</v>
      </c>
    </row>
    <row r="106" spans="1:4" hidden="1" outlineLevel="1" x14ac:dyDescent="0.3">
      <c r="A106" s="21">
        <v>46099</v>
      </c>
      <c r="B106" s="13" t="s">
        <v>395</v>
      </c>
      <c r="C106" s="13"/>
      <c r="D106" s="14">
        <v>311.85000000000002</v>
      </c>
    </row>
    <row r="107" spans="1:4" hidden="1" outlineLevel="1" x14ac:dyDescent="0.3">
      <c r="A107" s="21">
        <v>46100</v>
      </c>
      <c r="B107" s="13" t="s">
        <v>74</v>
      </c>
      <c r="C107" s="13"/>
      <c r="D107" s="14">
        <v>595.35</v>
      </c>
    </row>
    <row r="108" spans="1:4" hidden="1" outlineLevel="1" x14ac:dyDescent="0.3">
      <c r="A108" s="21">
        <v>46100</v>
      </c>
      <c r="B108" s="13" t="s">
        <v>412</v>
      </c>
      <c r="C108" s="13"/>
      <c r="D108" s="14">
        <v>151.19999999999999</v>
      </c>
    </row>
    <row r="109" spans="1:4" hidden="1" outlineLevel="1" x14ac:dyDescent="0.3">
      <c r="A109" s="21">
        <v>46100</v>
      </c>
      <c r="B109" s="13" t="s">
        <v>414</v>
      </c>
      <c r="C109" s="13"/>
      <c r="D109" s="14">
        <v>151.19999999999999</v>
      </c>
    </row>
    <row r="110" spans="1:4" hidden="1" outlineLevel="1" x14ac:dyDescent="0.3">
      <c r="A110" s="21">
        <v>46100</v>
      </c>
      <c r="B110" s="13" t="s">
        <v>416</v>
      </c>
      <c r="C110" s="13"/>
      <c r="D110" s="14">
        <v>151.19999999999999</v>
      </c>
    </row>
    <row r="111" spans="1:4" hidden="1" outlineLevel="1" x14ac:dyDescent="0.3">
      <c r="A111" s="21">
        <v>46100</v>
      </c>
      <c r="B111" s="13" t="s">
        <v>418</v>
      </c>
      <c r="C111" s="13"/>
      <c r="D111" s="14">
        <v>311.85000000000002</v>
      </c>
    </row>
    <row r="112" spans="1:4" hidden="1" outlineLevel="1" x14ac:dyDescent="0.3">
      <c r="A112" s="21">
        <v>46101</v>
      </c>
      <c r="B112" s="13" t="s">
        <v>74</v>
      </c>
      <c r="C112" s="13"/>
      <c r="D112" s="14">
        <v>595.35</v>
      </c>
    </row>
    <row r="113" spans="1:4" hidden="1" outlineLevel="1" x14ac:dyDescent="0.3">
      <c r="A113" s="21">
        <v>46106</v>
      </c>
      <c r="B113" s="13" t="s">
        <v>464</v>
      </c>
      <c r="C113" s="13"/>
      <c r="D113" s="14">
        <v>151.19999999999999</v>
      </c>
    </row>
    <row r="114" spans="1:4" hidden="1" outlineLevel="1" x14ac:dyDescent="0.3">
      <c r="A114" s="21">
        <v>46106</v>
      </c>
      <c r="B114" s="13" t="s">
        <v>466</v>
      </c>
      <c r="C114" s="13"/>
      <c r="D114" s="14">
        <v>151.19999999999999</v>
      </c>
    </row>
    <row r="115" spans="1:4" hidden="1" outlineLevel="1" x14ac:dyDescent="0.3">
      <c r="A115" s="21">
        <v>46106</v>
      </c>
      <c r="B115" s="13" t="s">
        <v>468</v>
      </c>
      <c r="C115" s="13"/>
      <c r="D115" s="14">
        <v>311.85000000000002</v>
      </c>
    </row>
    <row r="116" spans="1:4" hidden="1" outlineLevel="1" x14ac:dyDescent="0.3">
      <c r="A116" s="21">
        <v>46106</v>
      </c>
      <c r="B116" s="13" t="s">
        <v>470</v>
      </c>
      <c r="C116" s="13"/>
      <c r="D116" s="14">
        <v>311.85000000000002</v>
      </c>
    </row>
    <row r="117" spans="1:4" hidden="1" outlineLevel="1" x14ac:dyDescent="0.3">
      <c r="A117" s="21">
        <v>46106</v>
      </c>
      <c r="B117" s="13" t="s">
        <v>472</v>
      </c>
      <c r="C117" s="13"/>
      <c r="D117" s="14">
        <v>311.85000000000002</v>
      </c>
    </row>
    <row r="118" spans="1:4" hidden="1" outlineLevel="1" x14ac:dyDescent="0.3">
      <c r="A118" s="21">
        <v>46106</v>
      </c>
      <c r="B118" s="13" t="s">
        <v>474</v>
      </c>
      <c r="C118" s="13"/>
      <c r="D118" s="14">
        <v>311.85000000000002</v>
      </c>
    </row>
    <row r="119" spans="1:4" hidden="1" outlineLevel="1" x14ac:dyDescent="0.3">
      <c r="A119" s="21">
        <v>46106</v>
      </c>
      <c r="B119" s="13" t="s">
        <v>476</v>
      </c>
      <c r="C119" s="13"/>
      <c r="D119" s="14">
        <v>311.85000000000002</v>
      </c>
    </row>
    <row r="120" spans="1:4" hidden="1" outlineLevel="1" x14ac:dyDescent="0.3">
      <c r="A120" s="21">
        <v>46106</v>
      </c>
      <c r="B120" s="13" t="s">
        <v>478</v>
      </c>
      <c r="C120" s="13"/>
      <c r="D120" s="14">
        <v>311.85000000000002</v>
      </c>
    </row>
    <row r="121" spans="1:4" hidden="1" outlineLevel="1" x14ac:dyDescent="0.3">
      <c r="A121" s="21">
        <v>46107</v>
      </c>
      <c r="B121" s="13" t="s">
        <v>74</v>
      </c>
      <c r="C121" s="13"/>
      <c r="D121" s="14">
        <v>5042.82</v>
      </c>
    </row>
    <row r="122" spans="1:4" hidden="1" outlineLevel="1" x14ac:dyDescent="0.3">
      <c r="A122" s="21">
        <v>46111</v>
      </c>
      <c r="B122" s="13" t="s">
        <v>74</v>
      </c>
      <c r="C122" s="13"/>
      <c r="D122" s="14">
        <v>12075</v>
      </c>
    </row>
    <row r="123" spans="1:4" hidden="1" outlineLevel="1" x14ac:dyDescent="0.3">
      <c r="A123" s="21">
        <v>46111</v>
      </c>
      <c r="B123" s="13" t="s">
        <v>74</v>
      </c>
      <c r="C123" s="13"/>
      <c r="D123" s="14">
        <v>2903.25</v>
      </c>
    </row>
    <row r="124" spans="1:4" hidden="1" outlineLevel="1" x14ac:dyDescent="0.3">
      <c r="A124" s="21">
        <v>46111</v>
      </c>
      <c r="B124" s="13" t="s">
        <v>528</v>
      </c>
      <c r="C124" s="13"/>
      <c r="D124" s="14">
        <v>151.19999999999999</v>
      </c>
    </row>
    <row r="125" spans="1:4" hidden="1" outlineLevel="1" x14ac:dyDescent="0.3">
      <c r="A125" s="21">
        <v>46111</v>
      </c>
      <c r="B125" s="13" t="s">
        <v>530</v>
      </c>
      <c r="C125" s="13"/>
      <c r="D125" s="14">
        <v>311.85000000000002</v>
      </c>
    </row>
    <row r="126" spans="1:4" hidden="1" outlineLevel="1" x14ac:dyDescent="0.3">
      <c r="A126" s="21">
        <v>46111</v>
      </c>
      <c r="B126" s="13" t="s">
        <v>532</v>
      </c>
      <c r="C126" s="13"/>
      <c r="D126" s="14">
        <v>311.85000000000002</v>
      </c>
    </row>
    <row r="127" spans="1:4" x14ac:dyDescent="0.3">
      <c r="A127" s="22"/>
      <c r="B127" s="22"/>
      <c r="C127" s="16" t="s">
        <v>1094</v>
      </c>
      <c r="D127" s="17">
        <f>SUM(D68:D126)</f>
        <v>50205.7</v>
      </c>
    </row>
    <row r="129" spans="1:4" ht="15.6" x14ac:dyDescent="0.3">
      <c r="A129" s="43" t="s">
        <v>1095</v>
      </c>
      <c r="B129" s="38"/>
      <c r="C129" s="38"/>
      <c r="D129" s="38"/>
    </row>
    <row r="130" spans="1:4" x14ac:dyDescent="0.3">
      <c r="A130" s="20" t="s">
        <v>42</v>
      </c>
      <c r="B130" s="20" t="s">
        <v>1090</v>
      </c>
      <c r="C130" s="20" t="s">
        <v>1091</v>
      </c>
      <c r="D130" s="20" t="s">
        <v>1092</v>
      </c>
    </row>
    <row r="131" spans="1:4" hidden="1" outlineLevel="1" x14ac:dyDescent="0.3">
      <c r="A131" s="21">
        <v>46084</v>
      </c>
      <c r="B131" s="13" t="s">
        <v>75</v>
      </c>
      <c r="C131" s="13"/>
      <c r="D131" s="14">
        <v>553.9</v>
      </c>
    </row>
    <row r="132" spans="1:4" hidden="1" outlineLevel="1" x14ac:dyDescent="0.3">
      <c r="A132" s="21">
        <v>46090</v>
      </c>
      <c r="B132" s="13" t="s">
        <v>75</v>
      </c>
      <c r="C132" s="13"/>
      <c r="D132" s="14">
        <v>131.43</v>
      </c>
    </row>
    <row r="133" spans="1:4" hidden="1" outlineLevel="1" x14ac:dyDescent="0.3">
      <c r="A133" s="21">
        <v>46091</v>
      </c>
      <c r="B133" s="13" t="s">
        <v>75</v>
      </c>
      <c r="C133" s="13"/>
      <c r="D133" s="14">
        <v>247.8</v>
      </c>
    </row>
    <row r="134" spans="1:4" hidden="1" outlineLevel="1" x14ac:dyDescent="0.3">
      <c r="A134" s="21">
        <v>46093</v>
      </c>
      <c r="B134" s="13" t="s">
        <v>75</v>
      </c>
      <c r="C134" s="13"/>
      <c r="D134" s="14">
        <v>417.12</v>
      </c>
    </row>
    <row r="135" spans="1:4" hidden="1" outlineLevel="1" x14ac:dyDescent="0.3">
      <c r="A135" s="21">
        <v>46099</v>
      </c>
      <c r="B135" s="13" t="s">
        <v>75</v>
      </c>
      <c r="C135" s="13"/>
      <c r="D135" s="14">
        <v>1244.19</v>
      </c>
    </row>
    <row r="136" spans="1:4" hidden="1" outlineLevel="1" x14ac:dyDescent="0.3">
      <c r="A136" s="21">
        <v>46100</v>
      </c>
      <c r="B136" s="13" t="s">
        <v>75</v>
      </c>
      <c r="C136" s="13"/>
      <c r="D136" s="14">
        <v>85.05</v>
      </c>
    </row>
    <row r="137" spans="1:4" hidden="1" outlineLevel="1" x14ac:dyDescent="0.3">
      <c r="A137" s="21">
        <v>46101</v>
      </c>
      <c r="B137" s="13" t="s">
        <v>75</v>
      </c>
      <c r="C137" s="13"/>
      <c r="D137" s="14">
        <v>85.05</v>
      </c>
    </row>
    <row r="138" spans="1:4" hidden="1" outlineLevel="1" x14ac:dyDescent="0.3">
      <c r="A138" s="21">
        <v>46107</v>
      </c>
      <c r="B138" s="13" t="s">
        <v>75</v>
      </c>
      <c r="C138" s="13"/>
      <c r="D138" s="14">
        <v>720.4</v>
      </c>
    </row>
    <row r="139" spans="1:4" hidden="1" outlineLevel="1" x14ac:dyDescent="0.3">
      <c r="A139" s="21">
        <v>46111</v>
      </c>
      <c r="B139" s="13" t="s">
        <v>75</v>
      </c>
      <c r="C139" s="13"/>
      <c r="D139" s="14">
        <v>1725</v>
      </c>
    </row>
    <row r="140" spans="1:4" hidden="1" outlineLevel="1" x14ac:dyDescent="0.3">
      <c r="A140" s="21">
        <v>46111</v>
      </c>
      <c r="B140" s="13" t="s">
        <v>75</v>
      </c>
      <c r="C140" s="13"/>
      <c r="D140" s="14">
        <v>414.75</v>
      </c>
    </row>
    <row r="141" spans="1:4" x14ac:dyDescent="0.3">
      <c r="A141" s="22"/>
      <c r="B141" s="22"/>
      <c r="C141" s="16" t="s">
        <v>1096</v>
      </c>
      <c r="D141" s="17">
        <f>SUM(D131:D140)</f>
        <v>5624.6900000000005</v>
      </c>
    </row>
    <row r="143" spans="1:4" ht="15.6" x14ac:dyDescent="0.3">
      <c r="A143" s="43" t="s">
        <v>1097</v>
      </c>
      <c r="B143" s="38"/>
      <c r="C143" s="38"/>
      <c r="D143" s="38"/>
    </row>
    <row r="144" spans="1:4" x14ac:dyDescent="0.3">
      <c r="A144" s="20" t="s">
        <v>42</v>
      </c>
      <c r="B144" s="20" t="s">
        <v>1090</v>
      </c>
      <c r="C144" s="20" t="s">
        <v>1091</v>
      </c>
      <c r="D144" s="20" t="s">
        <v>1092</v>
      </c>
    </row>
    <row r="145" spans="1:4" hidden="1" outlineLevel="1" x14ac:dyDescent="0.3">
      <c r="A145" s="21">
        <v>46083</v>
      </c>
      <c r="B145" s="13" t="s">
        <v>66</v>
      </c>
      <c r="C145" s="13"/>
      <c r="D145" s="14">
        <v>16579.78</v>
      </c>
    </row>
    <row r="146" spans="1:4" hidden="1" outlineLevel="1" x14ac:dyDescent="0.3">
      <c r="A146" s="21">
        <v>46084</v>
      </c>
      <c r="B146" s="13" t="s">
        <v>66</v>
      </c>
      <c r="C146" s="13"/>
      <c r="D146" s="14">
        <v>103408.22</v>
      </c>
    </row>
    <row r="147" spans="1:4" hidden="1" outlineLevel="1" x14ac:dyDescent="0.3">
      <c r="A147" s="21">
        <v>46085</v>
      </c>
      <c r="B147" s="13" t="s">
        <v>66</v>
      </c>
      <c r="C147" s="13"/>
      <c r="D147" s="14">
        <v>1849.17</v>
      </c>
    </row>
    <row r="148" spans="1:4" hidden="1" outlineLevel="1" x14ac:dyDescent="0.3">
      <c r="A148" s="21">
        <v>46086</v>
      </c>
      <c r="B148" s="13" t="s">
        <v>66</v>
      </c>
      <c r="C148" s="13"/>
      <c r="D148" s="14">
        <v>31677.38</v>
      </c>
    </row>
    <row r="149" spans="1:4" hidden="1" outlineLevel="1" x14ac:dyDescent="0.3">
      <c r="A149" s="21">
        <v>46087</v>
      </c>
      <c r="B149" s="13" t="s">
        <v>66</v>
      </c>
      <c r="C149" s="13"/>
      <c r="D149" s="14">
        <v>41923.589999999997</v>
      </c>
    </row>
    <row r="150" spans="1:4" hidden="1" outlineLevel="1" x14ac:dyDescent="0.3">
      <c r="A150" s="21">
        <v>46090</v>
      </c>
      <c r="B150" s="13" t="s">
        <v>66</v>
      </c>
      <c r="C150" s="13"/>
      <c r="D150" s="14">
        <v>27099.32</v>
      </c>
    </row>
    <row r="151" spans="1:4" hidden="1" outlineLevel="1" x14ac:dyDescent="0.3">
      <c r="A151" s="21">
        <v>46091</v>
      </c>
      <c r="B151" s="13" t="s">
        <v>66</v>
      </c>
      <c r="C151" s="13"/>
      <c r="D151" s="14">
        <v>627894.27</v>
      </c>
    </row>
    <row r="152" spans="1:4" hidden="1" outlineLevel="1" x14ac:dyDescent="0.3">
      <c r="A152" s="21">
        <v>46092</v>
      </c>
      <c r="B152" s="13" t="s">
        <v>66</v>
      </c>
      <c r="C152" s="13"/>
      <c r="D152" s="14">
        <v>28560.46</v>
      </c>
    </row>
    <row r="153" spans="1:4" hidden="1" outlineLevel="1" x14ac:dyDescent="0.3">
      <c r="A153" s="21">
        <v>46093</v>
      </c>
      <c r="B153" s="13" t="s">
        <v>66</v>
      </c>
      <c r="C153" s="13"/>
      <c r="D153" s="14">
        <v>133806.09</v>
      </c>
    </row>
    <row r="154" spans="1:4" hidden="1" outlineLevel="1" x14ac:dyDescent="0.3">
      <c r="A154" s="21">
        <v>46094</v>
      </c>
      <c r="B154" s="13" t="s">
        <v>66</v>
      </c>
      <c r="C154" s="13"/>
      <c r="D154" s="14">
        <v>24017.86</v>
      </c>
    </row>
    <row r="155" spans="1:4" hidden="1" outlineLevel="1" x14ac:dyDescent="0.3">
      <c r="A155" s="21">
        <v>46094</v>
      </c>
      <c r="B155" s="13" t="s">
        <v>1098</v>
      </c>
      <c r="C155" s="13"/>
      <c r="D155" s="14">
        <v>14532</v>
      </c>
    </row>
    <row r="156" spans="1:4" hidden="1" outlineLevel="1" x14ac:dyDescent="0.3">
      <c r="A156" s="21">
        <v>46097</v>
      </c>
      <c r="B156" s="13" t="s">
        <v>66</v>
      </c>
      <c r="C156" s="13"/>
      <c r="D156" s="14">
        <v>19329.580000000002</v>
      </c>
    </row>
    <row r="157" spans="1:4" hidden="1" outlineLevel="1" x14ac:dyDescent="0.3">
      <c r="A157" s="21">
        <v>46097</v>
      </c>
      <c r="B157" s="13" t="s">
        <v>1099</v>
      </c>
      <c r="C157" s="13"/>
      <c r="D157" s="14">
        <v>8557.48</v>
      </c>
    </row>
    <row r="158" spans="1:4" hidden="1" outlineLevel="1" x14ac:dyDescent="0.3">
      <c r="A158" s="21">
        <v>46098</v>
      </c>
      <c r="B158" s="13" t="s">
        <v>66</v>
      </c>
      <c r="C158" s="13"/>
      <c r="D158" s="14">
        <v>8933.34</v>
      </c>
    </row>
    <row r="159" spans="1:4" hidden="1" outlineLevel="1" x14ac:dyDescent="0.3">
      <c r="A159" s="21">
        <v>46099</v>
      </c>
      <c r="B159" s="13" t="s">
        <v>66</v>
      </c>
      <c r="C159" s="13"/>
      <c r="D159" s="14">
        <v>53311.42</v>
      </c>
    </row>
    <row r="160" spans="1:4" hidden="1" outlineLevel="1" x14ac:dyDescent="0.3">
      <c r="A160" s="21">
        <v>46100</v>
      </c>
      <c r="B160" s="13" t="s">
        <v>66</v>
      </c>
      <c r="C160" s="13"/>
      <c r="D160" s="14">
        <v>29776.55</v>
      </c>
    </row>
    <row r="161" spans="1:4" hidden="1" outlineLevel="1" x14ac:dyDescent="0.3">
      <c r="A161" s="21">
        <v>46101</v>
      </c>
      <c r="B161" s="13" t="s">
        <v>66</v>
      </c>
      <c r="C161" s="13"/>
      <c r="D161" s="14">
        <v>40823.339999999997</v>
      </c>
    </row>
    <row r="162" spans="1:4" hidden="1" outlineLevel="1" x14ac:dyDescent="0.3">
      <c r="A162" s="21">
        <v>46106</v>
      </c>
      <c r="B162" s="13" t="s">
        <v>66</v>
      </c>
      <c r="C162" s="13"/>
      <c r="D162" s="14">
        <v>16975.16</v>
      </c>
    </row>
    <row r="163" spans="1:4" hidden="1" outlineLevel="1" x14ac:dyDescent="0.3">
      <c r="A163" s="21">
        <v>46107</v>
      </c>
      <c r="B163" s="13" t="s">
        <v>66</v>
      </c>
      <c r="C163" s="13"/>
      <c r="D163" s="14">
        <v>107472.44</v>
      </c>
    </row>
    <row r="164" spans="1:4" hidden="1" outlineLevel="1" x14ac:dyDescent="0.3">
      <c r="A164" s="21">
        <v>46107</v>
      </c>
      <c r="B164" s="13" t="s">
        <v>492</v>
      </c>
      <c r="C164" s="13"/>
      <c r="D164" s="14">
        <v>2968.56</v>
      </c>
    </row>
    <row r="165" spans="1:4" hidden="1" outlineLevel="1" x14ac:dyDescent="0.3">
      <c r="A165" s="21">
        <v>46108</v>
      </c>
      <c r="B165" s="13" t="s">
        <v>66</v>
      </c>
      <c r="C165" s="13"/>
      <c r="D165" s="14">
        <v>24345.32</v>
      </c>
    </row>
    <row r="166" spans="1:4" hidden="1" outlineLevel="1" x14ac:dyDescent="0.3">
      <c r="A166" s="21">
        <v>46111</v>
      </c>
      <c r="B166" s="13" t="s">
        <v>66</v>
      </c>
      <c r="C166" s="13"/>
      <c r="D166" s="14">
        <v>19988.439999999999</v>
      </c>
    </row>
    <row r="167" spans="1:4" hidden="1" outlineLevel="1" x14ac:dyDescent="0.3">
      <c r="A167" s="21">
        <v>46112</v>
      </c>
      <c r="B167" s="13" t="s">
        <v>66</v>
      </c>
      <c r="C167" s="13"/>
      <c r="D167" s="14">
        <v>36207.79</v>
      </c>
    </row>
    <row r="168" spans="1:4" x14ac:dyDescent="0.3">
      <c r="A168" s="22"/>
      <c r="B168" s="22"/>
      <c r="C168" s="16" t="s">
        <v>1100</v>
      </c>
      <c r="D168" s="17">
        <f>SUM(D145:D167)</f>
        <v>1420037.56</v>
      </c>
    </row>
    <row r="170" spans="1:4" ht="15.6" x14ac:dyDescent="0.3">
      <c r="A170" s="43" t="s">
        <v>1101</v>
      </c>
      <c r="B170" s="38"/>
      <c r="C170" s="38"/>
      <c r="D170" s="38"/>
    </row>
    <row r="171" spans="1:4" x14ac:dyDescent="0.3">
      <c r="A171" s="20" t="s">
        <v>42</v>
      </c>
      <c r="B171" s="20" t="s">
        <v>1090</v>
      </c>
      <c r="C171" s="20" t="s">
        <v>1091</v>
      </c>
      <c r="D171" s="20" t="s">
        <v>1092</v>
      </c>
    </row>
    <row r="172" spans="1:4" hidden="1" outlineLevel="1" x14ac:dyDescent="0.3">
      <c r="A172" s="21">
        <v>46083</v>
      </c>
      <c r="B172" s="13" t="s">
        <v>65</v>
      </c>
      <c r="C172" s="13"/>
      <c r="D172" s="14">
        <v>9772.75</v>
      </c>
    </row>
    <row r="173" spans="1:4" hidden="1" outlineLevel="1" x14ac:dyDescent="0.3">
      <c r="A173" s="21">
        <v>46084</v>
      </c>
      <c r="B173" s="13" t="s">
        <v>65</v>
      </c>
      <c r="C173" s="13"/>
      <c r="D173" s="14">
        <v>65921.070000000007</v>
      </c>
    </row>
    <row r="174" spans="1:4" hidden="1" outlineLevel="1" x14ac:dyDescent="0.3">
      <c r="A174" s="21">
        <v>46085</v>
      </c>
      <c r="B174" s="13" t="s">
        <v>65</v>
      </c>
      <c r="C174" s="13"/>
      <c r="D174" s="14">
        <v>1368.86</v>
      </c>
    </row>
    <row r="175" spans="1:4" hidden="1" outlineLevel="1" x14ac:dyDescent="0.3">
      <c r="A175" s="21">
        <v>46086</v>
      </c>
      <c r="B175" s="13" t="s">
        <v>65</v>
      </c>
      <c r="C175" s="13"/>
      <c r="D175" s="14">
        <v>46159.26</v>
      </c>
    </row>
    <row r="176" spans="1:4" hidden="1" outlineLevel="1" x14ac:dyDescent="0.3">
      <c r="A176" s="21">
        <v>46087</v>
      </c>
      <c r="B176" s="13" t="s">
        <v>65</v>
      </c>
      <c r="C176" s="13"/>
      <c r="D176" s="14">
        <v>452.23</v>
      </c>
    </row>
    <row r="177" spans="1:4" hidden="1" outlineLevel="1" x14ac:dyDescent="0.3">
      <c r="A177" s="21">
        <v>46090</v>
      </c>
      <c r="B177" s="13" t="s">
        <v>65</v>
      </c>
      <c r="C177" s="13"/>
      <c r="D177" s="14">
        <v>160424.19</v>
      </c>
    </row>
    <row r="178" spans="1:4" hidden="1" outlineLevel="1" x14ac:dyDescent="0.3">
      <c r="A178" s="21">
        <v>46091</v>
      </c>
      <c r="B178" s="13" t="s">
        <v>65</v>
      </c>
      <c r="C178" s="13"/>
      <c r="D178" s="14">
        <v>56086.96</v>
      </c>
    </row>
    <row r="179" spans="1:4" hidden="1" outlineLevel="1" x14ac:dyDescent="0.3">
      <c r="A179" s="21">
        <v>46092</v>
      </c>
      <c r="B179" s="13" t="s">
        <v>65</v>
      </c>
      <c r="C179" s="13"/>
      <c r="D179" s="14">
        <v>8933.7999999999993</v>
      </c>
    </row>
    <row r="180" spans="1:4" hidden="1" outlineLevel="1" x14ac:dyDescent="0.3">
      <c r="A180" s="21">
        <v>46093</v>
      </c>
      <c r="B180" s="13" t="s">
        <v>65</v>
      </c>
      <c r="C180" s="13"/>
      <c r="D180" s="14">
        <v>28682.12</v>
      </c>
    </row>
    <row r="181" spans="1:4" hidden="1" outlineLevel="1" x14ac:dyDescent="0.3">
      <c r="A181" s="21">
        <v>46094</v>
      </c>
      <c r="B181" s="13" t="s">
        <v>65</v>
      </c>
      <c r="C181" s="13"/>
      <c r="D181" s="14">
        <v>30080.46</v>
      </c>
    </row>
    <row r="182" spans="1:4" hidden="1" outlineLevel="1" x14ac:dyDescent="0.3">
      <c r="A182" s="21">
        <v>46097</v>
      </c>
      <c r="B182" s="13" t="s">
        <v>65</v>
      </c>
      <c r="C182" s="13"/>
      <c r="D182" s="14">
        <v>15331.92</v>
      </c>
    </row>
    <row r="183" spans="1:4" hidden="1" outlineLevel="1" x14ac:dyDescent="0.3">
      <c r="A183" s="21">
        <v>46097</v>
      </c>
      <c r="B183" s="13" t="s">
        <v>355</v>
      </c>
      <c r="C183" s="13"/>
      <c r="D183" s="14">
        <v>27.96</v>
      </c>
    </row>
    <row r="184" spans="1:4" hidden="1" outlineLevel="1" x14ac:dyDescent="0.3">
      <c r="A184" s="21">
        <v>46098</v>
      </c>
      <c r="B184" s="13" t="s">
        <v>65</v>
      </c>
      <c r="C184" s="13"/>
      <c r="D184" s="14">
        <v>3828.63</v>
      </c>
    </row>
    <row r="185" spans="1:4" hidden="1" outlineLevel="1" x14ac:dyDescent="0.3">
      <c r="A185" s="21">
        <v>46099</v>
      </c>
      <c r="B185" s="13" t="s">
        <v>65</v>
      </c>
      <c r="C185" s="13"/>
      <c r="D185" s="14">
        <v>12810.85</v>
      </c>
    </row>
    <row r="186" spans="1:4" hidden="1" outlineLevel="1" x14ac:dyDescent="0.3">
      <c r="A186" s="21">
        <v>46100</v>
      </c>
      <c r="B186" s="13" t="s">
        <v>65</v>
      </c>
      <c r="C186" s="13"/>
      <c r="D186" s="14">
        <v>28363.040000000001</v>
      </c>
    </row>
    <row r="187" spans="1:4" hidden="1" outlineLevel="1" x14ac:dyDescent="0.3">
      <c r="A187" s="21">
        <v>46101</v>
      </c>
      <c r="B187" s="13" t="s">
        <v>65</v>
      </c>
      <c r="C187" s="13"/>
      <c r="D187" s="14">
        <v>8778.2900000000009</v>
      </c>
    </row>
    <row r="188" spans="1:4" hidden="1" outlineLevel="1" x14ac:dyDescent="0.3">
      <c r="A188" s="21">
        <v>46106</v>
      </c>
      <c r="B188" s="13" t="s">
        <v>65</v>
      </c>
      <c r="C188" s="13"/>
      <c r="D188" s="14">
        <v>58802.42</v>
      </c>
    </row>
    <row r="189" spans="1:4" hidden="1" outlineLevel="1" x14ac:dyDescent="0.3">
      <c r="A189" s="21">
        <v>46107</v>
      </c>
      <c r="B189" s="13" t="s">
        <v>65</v>
      </c>
      <c r="C189" s="13"/>
      <c r="D189" s="14">
        <v>483.9</v>
      </c>
    </row>
    <row r="190" spans="1:4" hidden="1" outlineLevel="1" x14ac:dyDescent="0.3">
      <c r="A190" s="21">
        <v>46108</v>
      </c>
      <c r="B190" s="13" t="s">
        <v>65</v>
      </c>
      <c r="C190" s="13"/>
      <c r="D190" s="14">
        <v>1412.68</v>
      </c>
    </row>
    <row r="191" spans="1:4" hidden="1" outlineLevel="1" x14ac:dyDescent="0.3">
      <c r="A191" s="21">
        <v>46111</v>
      </c>
      <c r="B191" s="13" t="s">
        <v>65</v>
      </c>
      <c r="C191" s="13"/>
      <c r="D191" s="14">
        <v>69083.61</v>
      </c>
    </row>
    <row r="192" spans="1:4" hidden="1" outlineLevel="1" x14ac:dyDescent="0.3">
      <c r="A192" s="21">
        <v>46112</v>
      </c>
      <c r="B192" s="13" t="s">
        <v>65</v>
      </c>
      <c r="C192" s="13"/>
      <c r="D192" s="14">
        <v>378768.82</v>
      </c>
    </row>
    <row r="193" spans="1:4" x14ac:dyDescent="0.3">
      <c r="A193" s="22"/>
      <c r="B193" s="22"/>
      <c r="C193" s="16" t="s">
        <v>1102</v>
      </c>
      <c r="D193" s="17">
        <f>SUM(D172:D192)</f>
        <v>985573.82000000007</v>
      </c>
    </row>
    <row r="195" spans="1:4" ht="15.6" x14ac:dyDescent="0.3">
      <c r="A195" s="43" t="s">
        <v>1103</v>
      </c>
      <c r="B195" s="38"/>
      <c r="C195" s="38"/>
      <c r="D195" s="38"/>
    </row>
    <row r="196" spans="1:4" x14ac:dyDescent="0.3">
      <c r="A196" s="20" t="s">
        <v>42</v>
      </c>
      <c r="B196" s="20" t="s">
        <v>1090</v>
      </c>
      <c r="C196" s="20" t="s">
        <v>1091</v>
      </c>
      <c r="D196" s="20" t="s">
        <v>1092</v>
      </c>
    </row>
    <row r="197" spans="1:4" hidden="1" outlineLevel="1" x14ac:dyDescent="0.3">
      <c r="A197" s="21">
        <v>46084</v>
      </c>
      <c r="B197" s="13" t="s">
        <v>73</v>
      </c>
      <c r="C197" s="13"/>
      <c r="D197" s="14">
        <v>923.16</v>
      </c>
    </row>
    <row r="198" spans="1:4" hidden="1" outlineLevel="1" x14ac:dyDescent="0.3">
      <c r="A198" s="21">
        <v>46090</v>
      </c>
      <c r="B198" s="13" t="s">
        <v>73</v>
      </c>
      <c r="C198" s="13"/>
      <c r="D198" s="14">
        <v>219.05</v>
      </c>
    </row>
    <row r="199" spans="1:4" hidden="1" outlineLevel="1" x14ac:dyDescent="0.3">
      <c r="A199" s="21">
        <v>46091</v>
      </c>
      <c r="B199" s="13" t="s">
        <v>73</v>
      </c>
      <c r="C199" s="13"/>
      <c r="D199" s="14">
        <v>413</v>
      </c>
    </row>
    <row r="200" spans="1:4" hidden="1" outlineLevel="1" x14ac:dyDescent="0.3">
      <c r="A200" s="21">
        <v>46093</v>
      </c>
      <c r="B200" s="13" t="s">
        <v>73</v>
      </c>
      <c r="C200" s="13"/>
      <c r="D200" s="14">
        <v>695.21</v>
      </c>
    </row>
    <row r="201" spans="1:4" hidden="1" outlineLevel="1" x14ac:dyDescent="0.3">
      <c r="A201" s="21">
        <v>46099</v>
      </c>
      <c r="B201" s="13" t="s">
        <v>73</v>
      </c>
      <c r="C201" s="13"/>
      <c r="D201" s="14">
        <v>2073.65</v>
      </c>
    </row>
    <row r="202" spans="1:4" hidden="1" outlineLevel="1" x14ac:dyDescent="0.3">
      <c r="A202" s="21">
        <v>46107</v>
      </c>
      <c r="B202" s="13" t="s">
        <v>73</v>
      </c>
      <c r="C202" s="13"/>
      <c r="D202" s="14">
        <v>1200.67</v>
      </c>
    </row>
    <row r="203" spans="1:4" hidden="1" outlineLevel="1" x14ac:dyDescent="0.3">
      <c r="A203" s="21">
        <v>46111</v>
      </c>
      <c r="B203" s="13" t="s">
        <v>73</v>
      </c>
      <c r="C203" s="13"/>
      <c r="D203" s="14">
        <v>2875</v>
      </c>
    </row>
    <row r="204" spans="1:4" hidden="1" outlineLevel="1" x14ac:dyDescent="0.3">
      <c r="A204" s="21">
        <v>46111</v>
      </c>
      <c r="B204" s="13" t="s">
        <v>73</v>
      </c>
      <c r="C204" s="13"/>
      <c r="D204" s="14">
        <v>691.25</v>
      </c>
    </row>
    <row r="205" spans="1:4" x14ac:dyDescent="0.3">
      <c r="A205" s="22"/>
      <c r="B205" s="22"/>
      <c r="C205" s="16" t="s">
        <v>1104</v>
      </c>
      <c r="D205" s="17">
        <f>SUM(D197:D204)</f>
        <v>9090.99</v>
      </c>
    </row>
    <row r="207" spans="1:4" ht="15.6" x14ac:dyDescent="0.3">
      <c r="A207" s="43" t="s">
        <v>1105</v>
      </c>
      <c r="B207" s="38"/>
      <c r="C207" s="38"/>
      <c r="D207" s="38"/>
    </row>
    <row r="208" spans="1:4" x14ac:dyDescent="0.3">
      <c r="A208" s="20" t="s">
        <v>42</v>
      </c>
      <c r="B208" s="20" t="s">
        <v>1090</v>
      </c>
      <c r="C208" s="20" t="s">
        <v>1091</v>
      </c>
      <c r="D208" s="20" t="s">
        <v>1092</v>
      </c>
    </row>
    <row r="209" spans="1:4" hidden="1" outlineLevel="1" x14ac:dyDescent="0.3">
      <c r="A209" s="21">
        <v>46080</v>
      </c>
      <c r="B209" s="13" t="s">
        <v>49</v>
      </c>
      <c r="C209" s="13"/>
      <c r="D209" s="14">
        <v>3270.15</v>
      </c>
    </row>
    <row r="210" spans="1:4" hidden="1" outlineLevel="1" x14ac:dyDescent="0.3">
      <c r="A210" s="21">
        <v>46083</v>
      </c>
      <c r="B210" s="13" t="s">
        <v>68</v>
      </c>
      <c r="C210" s="13"/>
      <c r="D210" s="14">
        <v>3029.96</v>
      </c>
    </row>
    <row r="211" spans="1:4" hidden="1" outlineLevel="1" x14ac:dyDescent="0.3">
      <c r="A211" s="21">
        <v>46084</v>
      </c>
      <c r="B211" s="13" t="s">
        <v>97</v>
      </c>
      <c r="C211" s="13"/>
      <c r="D211" s="14">
        <v>19530.04</v>
      </c>
    </row>
    <row r="212" spans="1:4" hidden="1" outlineLevel="1" x14ac:dyDescent="0.3">
      <c r="A212" s="21">
        <v>46085</v>
      </c>
      <c r="B212" s="13" t="s">
        <v>104</v>
      </c>
      <c r="C212" s="13"/>
      <c r="D212" s="14">
        <v>78.44</v>
      </c>
    </row>
    <row r="213" spans="1:4" hidden="1" outlineLevel="1" x14ac:dyDescent="0.3">
      <c r="A213" s="21">
        <v>46086</v>
      </c>
      <c r="B213" s="13" t="s">
        <v>147</v>
      </c>
      <c r="C213" s="13"/>
      <c r="D213" s="14">
        <v>3668.82</v>
      </c>
    </row>
    <row r="214" spans="1:4" hidden="1" outlineLevel="1" x14ac:dyDescent="0.3">
      <c r="A214" s="21">
        <v>46087</v>
      </c>
      <c r="B214" s="13" t="s">
        <v>164</v>
      </c>
      <c r="C214" s="13"/>
      <c r="D214" s="14">
        <v>8158.1</v>
      </c>
    </row>
    <row r="215" spans="1:4" hidden="1" outlineLevel="1" x14ac:dyDescent="0.3">
      <c r="A215" s="21">
        <v>46090</v>
      </c>
      <c r="B215" s="13" t="s">
        <v>183</v>
      </c>
      <c r="C215" s="13"/>
      <c r="D215" s="14">
        <v>4093.28</v>
      </c>
    </row>
    <row r="216" spans="1:4" hidden="1" outlineLevel="1" x14ac:dyDescent="0.3">
      <c r="A216" s="21">
        <v>46091</v>
      </c>
      <c r="B216" s="13" t="s">
        <v>271</v>
      </c>
      <c r="C216" s="13"/>
      <c r="D216" s="14">
        <v>122859.01</v>
      </c>
    </row>
    <row r="217" spans="1:4" hidden="1" outlineLevel="1" x14ac:dyDescent="0.3">
      <c r="A217" s="21">
        <v>46092</v>
      </c>
      <c r="B217" s="13" t="s">
        <v>286</v>
      </c>
      <c r="C217" s="13"/>
      <c r="D217" s="14">
        <v>5183.8999999999996</v>
      </c>
    </row>
    <row r="218" spans="1:4" hidden="1" outlineLevel="1" x14ac:dyDescent="0.3">
      <c r="A218" s="21">
        <v>46093</v>
      </c>
      <c r="B218" s="13" t="s">
        <v>323</v>
      </c>
      <c r="C218" s="13"/>
      <c r="D218" s="14">
        <v>22690.3</v>
      </c>
    </row>
    <row r="219" spans="1:4" hidden="1" outlineLevel="1" x14ac:dyDescent="0.3">
      <c r="A219" s="21">
        <v>46094</v>
      </c>
      <c r="B219" s="13" t="s">
        <v>342</v>
      </c>
      <c r="C219" s="13"/>
      <c r="D219" s="14">
        <v>4609.7299999999996</v>
      </c>
    </row>
    <row r="220" spans="1:4" hidden="1" outlineLevel="1" x14ac:dyDescent="0.3">
      <c r="A220" s="21">
        <v>46097</v>
      </c>
      <c r="B220" s="13" t="s">
        <v>357</v>
      </c>
      <c r="C220" s="13"/>
      <c r="D220" s="14">
        <v>2755.01</v>
      </c>
    </row>
    <row r="221" spans="1:4" hidden="1" outlineLevel="1" x14ac:dyDescent="0.3">
      <c r="A221" s="21">
        <v>46098</v>
      </c>
      <c r="B221" s="13" t="s">
        <v>383</v>
      </c>
      <c r="C221" s="13"/>
      <c r="D221" s="14">
        <v>1740.88</v>
      </c>
    </row>
    <row r="222" spans="1:4" hidden="1" outlineLevel="1" x14ac:dyDescent="0.3">
      <c r="A222" s="21">
        <v>46099</v>
      </c>
      <c r="B222" s="13" t="s">
        <v>396</v>
      </c>
      <c r="C222" s="13"/>
      <c r="D222" s="14">
        <v>9823.64</v>
      </c>
    </row>
    <row r="223" spans="1:4" hidden="1" outlineLevel="1" x14ac:dyDescent="0.3">
      <c r="A223" s="21">
        <v>46100</v>
      </c>
      <c r="B223" s="13" t="s">
        <v>419</v>
      </c>
      <c r="C223" s="13"/>
      <c r="D223" s="14">
        <v>5754.7</v>
      </c>
    </row>
    <row r="224" spans="1:4" hidden="1" outlineLevel="1" x14ac:dyDescent="0.3">
      <c r="A224" s="21">
        <v>46101</v>
      </c>
      <c r="B224" s="13" t="s">
        <v>435</v>
      </c>
      <c r="C224" s="13"/>
      <c r="D224" s="14">
        <v>7938.68</v>
      </c>
    </row>
    <row r="225" spans="1:4" hidden="1" outlineLevel="1" x14ac:dyDescent="0.3">
      <c r="A225" s="21">
        <v>46106</v>
      </c>
      <c r="B225" s="13" t="s">
        <v>479</v>
      </c>
      <c r="C225" s="13"/>
      <c r="D225" s="14">
        <v>3199.17</v>
      </c>
    </row>
    <row r="226" spans="1:4" hidden="1" outlineLevel="1" x14ac:dyDescent="0.3">
      <c r="A226" s="21">
        <v>46107</v>
      </c>
      <c r="B226" s="13" t="s">
        <v>493</v>
      </c>
      <c r="C226" s="13"/>
      <c r="D226" s="14">
        <v>20501.189999999999</v>
      </c>
    </row>
    <row r="227" spans="1:4" hidden="1" outlineLevel="1" x14ac:dyDescent="0.3">
      <c r="A227" s="21">
        <v>46108</v>
      </c>
      <c r="B227" s="13" t="s">
        <v>507</v>
      </c>
      <c r="C227" s="13"/>
      <c r="D227" s="14">
        <v>3368.53</v>
      </c>
    </row>
    <row r="228" spans="1:4" hidden="1" outlineLevel="1" x14ac:dyDescent="0.3">
      <c r="A228" s="21">
        <v>46111</v>
      </c>
      <c r="B228" s="13" t="s">
        <v>533</v>
      </c>
      <c r="C228" s="13"/>
      <c r="D228" s="14">
        <v>1958.8</v>
      </c>
    </row>
    <row r="229" spans="1:4" x14ac:dyDescent="0.3">
      <c r="A229" s="22"/>
      <c r="B229" s="22"/>
      <c r="C229" s="16" t="s">
        <v>1106</v>
      </c>
      <c r="D229" s="17">
        <f>SUM(D209:D228)</f>
        <v>254212.33000000002</v>
      </c>
    </row>
    <row r="231" spans="1:4" ht="15.6" x14ac:dyDescent="0.3">
      <c r="A231" s="43" t="s">
        <v>1107</v>
      </c>
      <c r="B231" s="38"/>
      <c r="C231" s="38"/>
      <c r="D231" s="38"/>
    </row>
    <row r="232" spans="1:4" x14ac:dyDescent="0.3">
      <c r="A232" s="20" t="s">
        <v>42</v>
      </c>
      <c r="B232" s="20" t="s">
        <v>1090</v>
      </c>
      <c r="C232" s="20" t="s">
        <v>1091</v>
      </c>
      <c r="D232" s="20" t="s">
        <v>1092</v>
      </c>
    </row>
    <row r="233" spans="1:4" hidden="1" outlineLevel="1" x14ac:dyDescent="0.3">
      <c r="A233" s="21">
        <v>46080</v>
      </c>
      <c r="B233" s="13" t="s">
        <v>48</v>
      </c>
      <c r="C233" s="13"/>
      <c r="D233" s="14">
        <v>47495.65</v>
      </c>
    </row>
    <row r="234" spans="1:4" hidden="1" outlineLevel="1" x14ac:dyDescent="0.3">
      <c r="A234" s="21">
        <v>46083</v>
      </c>
      <c r="B234" s="13" t="s">
        <v>67</v>
      </c>
      <c r="C234" s="13"/>
      <c r="D234" s="14">
        <v>33159.54</v>
      </c>
    </row>
    <row r="235" spans="1:4" hidden="1" outlineLevel="1" x14ac:dyDescent="0.3">
      <c r="A235" s="21">
        <v>46084</v>
      </c>
      <c r="B235" s="13" t="s">
        <v>96</v>
      </c>
      <c r="C235" s="13"/>
      <c r="D235" s="14">
        <v>206816.45</v>
      </c>
    </row>
    <row r="236" spans="1:4" hidden="1" outlineLevel="1" x14ac:dyDescent="0.3">
      <c r="A236" s="21">
        <v>46085</v>
      </c>
      <c r="B236" s="13" t="s">
        <v>103</v>
      </c>
      <c r="C236" s="13"/>
      <c r="D236" s="14">
        <v>3698.36</v>
      </c>
    </row>
    <row r="237" spans="1:4" hidden="1" outlineLevel="1" x14ac:dyDescent="0.3">
      <c r="A237" s="21">
        <v>46086</v>
      </c>
      <c r="B237" s="13" t="s">
        <v>146</v>
      </c>
      <c r="C237" s="13"/>
      <c r="D237" s="14">
        <v>63354.76</v>
      </c>
    </row>
    <row r="238" spans="1:4" hidden="1" outlineLevel="1" x14ac:dyDescent="0.3">
      <c r="A238" s="21">
        <v>46087</v>
      </c>
      <c r="B238" s="13" t="s">
        <v>165</v>
      </c>
      <c r="C238" s="13"/>
      <c r="D238" s="14">
        <v>83847.199999999997</v>
      </c>
    </row>
    <row r="239" spans="1:4" hidden="1" outlineLevel="1" x14ac:dyDescent="0.3">
      <c r="A239" s="21">
        <v>46090</v>
      </c>
      <c r="B239" s="13" t="s">
        <v>182</v>
      </c>
      <c r="C239" s="13"/>
      <c r="D239" s="14">
        <v>54198.61</v>
      </c>
    </row>
    <row r="240" spans="1:4" hidden="1" outlineLevel="1" x14ac:dyDescent="0.3">
      <c r="A240" s="21">
        <v>46091</v>
      </c>
      <c r="B240" s="13" t="s">
        <v>270</v>
      </c>
      <c r="C240" s="13"/>
      <c r="D240" s="14">
        <v>1255788.55</v>
      </c>
    </row>
    <row r="241" spans="1:4" hidden="1" outlineLevel="1" x14ac:dyDescent="0.3">
      <c r="A241" s="21">
        <v>46092</v>
      </c>
      <c r="B241" s="13" t="s">
        <v>285</v>
      </c>
      <c r="C241" s="13"/>
      <c r="D241" s="14">
        <v>57120.93</v>
      </c>
    </row>
    <row r="242" spans="1:4" hidden="1" outlineLevel="1" x14ac:dyDescent="0.3">
      <c r="A242" s="21">
        <v>46093</v>
      </c>
      <c r="B242" s="13" t="s">
        <v>322</v>
      </c>
      <c r="C242" s="13"/>
      <c r="D242" s="14">
        <v>267612.18</v>
      </c>
    </row>
    <row r="243" spans="1:4" hidden="1" outlineLevel="1" x14ac:dyDescent="0.3">
      <c r="A243" s="21">
        <v>46094</v>
      </c>
      <c r="B243" s="13" t="s">
        <v>341</v>
      </c>
      <c r="C243" s="13"/>
      <c r="D243" s="14">
        <v>48035.71</v>
      </c>
    </row>
    <row r="244" spans="1:4" hidden="1" outlineLevel="1" x14ac:dyDescent="0.3">
      <c r="A244" s="21">
        <v>46097</v>
      </c>
      <c r="B244" s="13" t="s">
        <v>356</v>
      </c>
      <c r="C244" s="13"/>
      <c r="D244" s="14">
        <v>38659.15</v>
      </c>
    </row>
    <row r="245" spans="1:4" hidden="1" outlineLevel="1" x14ac:dyDescent="0.3">
      <c r="A245" s="21">
        <v>46098</v>
      </c>
      <c r="B245" s="13" t="s">
        <v>382</v>
      </c>
      <c r="C245" s="13"/>
      <c r="D245" s="14">
        <v>17866.68</v>
      </c>
    </row>
    <row r="246" spans="1:4" hidden="1" outlineLevel="1" x14ac:dyDescent="0.3">
      <c r="A246" s="21">
        <v>46099</v>
      </c>
      <c r="B246" s="13" t="s">
        <v>397</v>
      </c>
      <c r="C246" s="13"/>
      <c r="D246" s="14">
        <v>106622.81</v>
      </c>
    </row>
    <row r="247" spans="1:4" hidden="1" outlineLevel="1" x14ac:dyDescent="0.3">
      <c r="A247" s="21">
        <v>46100</v>
      </c>
      <c r="B247" s="13" t="s">
        <v>420</v>
      </c>
      <c r="C247" s="13"/>
      <c r="D247" s="14">
        <v>59553.09</v>
      </c>
    </row>
    <row r="248" spans="1:4" hidden="1" outlineLevel="1" x14ac:dyDescent="0.3">
      <c r="A248" s="21">
        <v>46101</v>
      </c>
      <c r="B248" s="13" t="s">
        <v>436</v>
      </c>
      <c r="C248" s="13"/>
      <c r="D248" s="14">
        <v>81646.66</v>
      </c>
    </row>
    <row r="249" spans="1:4" hidden="1" outlineLevel="1" x14ac:dyDescent="0.3">
      <c r="A249" s="21">
        <v>46106</v>
      </c>
      <c r="B249" s="13" t="s">
        <v>480</v>
      </c>
      <c r="C249" s="13"/>
      <c r="D249" s="14">
        <v>33950.29</v>
      </c>
    </row>
    <row r="250" spans="1:4" hidden="1" outlineLevel="1" x14ac:dyDescent="0.3">
      <c r="A250" s="21">
        <v>46107</v>
      </c>
      <c r="B250" s="13" t="s">
        <v>494</v>
      </c>
      <c r="C250" s="13"/>
      <c r="D250" s="14">
        <v>214944.88</v>
      </c>
    </row>
    <row r="251" spans="1:4" hidden="1" outlineLevel="1" x14ac:dyDescent="0.3">
      <c r="A251" s="21">
        <v>46108</v>
      </c>
      <c r="B251" s="13" t="s">
        <v>506</v>
      </c>
      <c r="C251" s="13"/>
      <c r="D251" s="14">
        <v>48690.65</v>
      </c>
    </row>
    <row r="252" spans="1:4" hidden="1" outlineLevel="1" x14ac:dyDescent="0.3">
      <c r="A252" s="21">
        <v>46111</v>
      </c>
      <c r="B252" s="13" t="s">
        <v>534</v>
      </c>
      <c r="C252" s="13"/>
      <c r="D252" s="14">
        <v>39976.92</v>
      </c>
    </row>
    <row r="253" spans="1:4" x14ac:dyDescent="0.3">
      <c r="A253" s="22"/>
      <c r="B253" s="22"/>
      <c r="C253" s="16" t="s">
        <v>1108</v>
      </c>
      <c r="D253" s="17">
        <f>SUM(D233:D252)</f>
        <v>2763039.07</v>
      </c>
    </row>
  </sheetData>
  <mergeCells count="9">
    <mergeCell ref="A1:D1"/>
    <mergeCell ref="A143:D143"/>
    <mergeCell ref="A3:D3"/>
    <mergeCell ref="A231:D231"/>
    <mergeCell ref="A195:D195"/>
    <mergeCell ref="A129:D129"/>
    <mergeCell ref="A170:D170"/>
    <mergeCell ref="A207:D207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9"/>
  <sheetViews>
    <sheetView workbookViewId="0"/>
  </sheetViews>
  <sheetFormatPr baseColWidth="10" defaultColWidth="8.88671875" defaultRowHeight="14.4" x14ac:dyDescent="0.3"/>
  <cols>
    <col min="1" max="1" width="14" customWidth="1"/>
    <col min="2" max="3" width="16" customWidth="1"/>
    <col min="4" max="4" width="28" customWidth="1"/>
    <col min="5" max="5" width="14" customWidth="1"/>
    <col min="6" max="7" width="16" customWidth="1"/>
    <col min="8" max="8" width="25" customWidth="1"/>
    <col min="9" max="9" width="12" customWidth="1"/>
    <col min="10" max="10" width="10" customWidth="1"/>
    <col min="11" max="11" width="14" customWidth="1"/>
    <col min="12" max="12" width="20" customWidth="1"/>
    <col min="13" max="13" width="35" customWidth="1"/>
  </cols>
  <sheetData>
    <row r="1" spans="1:13" ht="17.399999999999999" x14ac:dyDescent="0.3">
      <c r="A1" s="42" t="s">
        <v>1109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x14ac:dyDescent="0.3">
      <c r="A2" s="1" t="s">
        <v>1</v>
      </c>
    </row>
    <row r="3" spans="1:13" x14ac:dyDescent="0.3">
      <c r="A3" s="44" t="s">
        <v>1110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5" spans="1:13" ht="15.6" x14ac:dyDescent="0.3">
      <c r="A5" s="24" t="s">
        <v>1111</v>
      </c>
    </row>
    <row r="6" spans="1:13" x14ac:dyDescent="0.3">
      <c r="A6" s="20" t="s">
        <v>1112</v>
      </c>
      <c r="B6" s="20" t="s">
        <v>1113</v>
      </c>
      <c r="C6" s="20" t="s">
        <v>1114</v>
      </c>
      <c r="D6" s="20" t="s">
        <v>1115</v>
      </c>
      <c r="E6" s="20" t="s">
        <v>1116</v>
      </c>
      <c r="F6" s="20" t="s">
        <v>1117</v>
      </c>
      <c r="G6" s="20" t="s">
        <v>1118</v>
      </c>
      <c r="H6" s="20" t="s">
        <v>1119</v>
      </c>
      <c r="I6" s="20" t="s">
        <v>1120</v>
      </c>
      <c r="J6" s="20" t="s">
        <v>1121</v>
      </c>
      <c r="K6" s="20" t="s">
        <v>1122</v>
      </c>
      <c r="L6" s="20" t="s">
        <v>1123</v>
      </c>
      <c r="M6" s="20" t="s">
        <v>1124</v>
      </c>
    </row>
    <row r="7" spans="1:13" x14ac:dyDescent="0.3">
      <c r="A7" s="25">
        <v>46083</v>
      </c>
      <c r="B7" s="26"/>
      <c r="C7" s="27">
        <v>220378.89</v>
      </c>
      <c r="D7" s="26" t="s">
        <v>50</v>
      </c>
      <c r="E7" s="25">
        <v>46083</v>
      </c>
      <c r="F7" s="27">
        <v>220378.89</v>
      </c>
      <c r="G7" s="26"/>
      <c r="H7" s="26" t="s">
        <v>618</v>
      </c>
      <c r="I7" s="27">
        <v>0</v>
      </c>
      <c r="J7" s="26">
        <v>0</v>
      </c>
      <c r="K7" s="28" t="s">
        <v>1125</v>
      </c>
      <c r="L7" s="26" t="s">
        <v>1126</v>
      </c>
      <c r="M7" s="26"/>
    </row>
    <row r="8" spans="1:13" x14ac:dyDescent="0.3">
      <c r="A8" s="25">
        <v>46083</v>
      </c>
      <c r="B8" s="27">
        <v>762181.55</v>
      </c>
      <c r="C8" s="26"/>
      <c r="D8" s="26" t="s">
        <v>52</v>
      </c>
      <c r="E8" s="25">
        <v>46083</v>
      </c>
      <c r="F8" s="26"/>
      <c r="G8" s="27">
        <v>762181.55</v>
      </c>
      <c r="H8" s="26" t="s">
        <v>611</v>
      </c>
      <c r="I8" s="27">
        <v>0</v>
      </c>
      <c r="J8" s="26">
        <v>0</v>
      </c>
      <c r="K8" s="28" t="s">
        <v>1125</v>
      </c>
      <c r="L8" s="26" t="s">
        <v>1126</v>
      </c>
      <c r="M8" s="26"/>
    </row>
    <row r="9" spans="1:13" x14ac:dyDescent="0.3">
      <c r="A9" s="25">
        <v>46083</v>
      </c>
      <c r="B9" s="26"/>
      <c r="C9" s="27">
        <v>17956.09</v>
      </c>
      <c r="D9" s="26" t="s">
        <v>54</v>
      </c>
      <c r="E9" s="25">
        <v>46083</v>
      </c>
      <c r="F9" s="27">
        <v>17956.09</v>
      </c>
      <c r="G9" s="26"/>
      <c r="H9" s="26" t="s">
        <v>618</v>
      </c>
      <c r="I9" s="27">
        <v>0</v>
      </c>
      <c r="J9" s="26">
        <v>0</v>
      </c>
      <c r="K9" s="28" t="s">
        <v>1125</v>
      </c>
      <c r="L9" s="26" t="s">
        <v>1126</v>
      </c>
      <c r="M9" s="26"/>
    </row>
    <row r="10" spans="1:13" x14ac:dyDescent="0.3">
      <c r="A10" s="25">
        <v>46083</v>
      </c>
      <c r="B10" s="26"/>
      <c r="C10" s="27">
        <v>1500000</v>
      </c>
      <c r="D10" s="26" t="s">
        <v>55</v>
      </c>
      <c r="E10" s="25">
        <v>46083</v>
      </c>
      <c r="F10" s="27">
        <v>1500000</v>
      </c>
      <c r="G10" s="26"/>
      <c r="H10" s="26" t="s">
        <v>613</v>
      </c>
      <c r="I10" s="27">
        <v>0</v>
      </c>
      <c r="J10" s="26">
        <v>0</v>
      </c>
      <c r="K10" s="28" t="s">
        <v>1125</v>
      </c>
      <c r="L10" s="26" t="s">
        <v>1126</v>
      </c>
      <c r="M10" s="26"/>
    </row>
    <row r="11" spans="1:13" x14ac:dyDescent="0.3">
      <c r="A11" s="25">
        <v>46083</v>
      </c>
      <c r="B11" s="26"/>
      <c r="C11" s="27">
        <v>1065256</v>
      </c>
      <c r="D11" s="26" t="s">
        <v>56</v>
      </c>
      <c r="E11" s="25">
        <v>46083</v>
      </c>
      <c r="F11" s="27">
        <v>1065256</v>
      </c>
      <c r="G11" s="26"/>
      <c r="H11" s="26" t="s">
        <v>607</v>
      </c>
      <c r="I11" s="27">
        <v>0</v>
      </c>
      <c r="J11" s="26">
        <v>0</v>
      </c>
      <c r="K11" s="28" t="s">
        <v>1125</v>
      </c>
      <c r="L11" s="26" t="s">
        <v>1126</v>
      </c>
      <c r="M11" s="26"/>
    </row>
    <row r="12" spans="1:13" x14ac:dyDescent="0.3">
      <c r="A12" s="25">
        <v>46083</v>
      </c>
      <c r="B12" s="26"/>
      <c r="C12" s="27">
        <v>140722</v>
      </c>
      <c r="D12" s="26" t="s">
        <v>57</v>
      </c>
      <c r="E12" s="25">
        <v>46083</v>
      </c>
      <c r="F12" s="27">
        <v>140722</v>
      </c>
      <c r="G12" s="26"/>
      <c r="H12" s="26" t="s">
        <v>609</v>
      </c>
      <c r="I12" s="27">
        <v>0</v>
      </c>
      <c r="J12" s="26">
        <v>0</v>
      </c>
      <c r="K12" s="28" t="s">
        <v>1125</v>
      </c>
      <c r="L12" s="26" t="s">
        <v>1126</v>
      </c>
      <c r="M12" s="26"/>
    </row>
    <row r="13" spans="1:13" x14ac:dyDescent="0.3">
      <c r="A13" s="25">
        <v>46083</v>
      </c>
      <c r="B13" s="26"/>
      <c r="C13" s="27">
        <v>155788.20000000001</v>
      </c>
      <c r="D13" s="26" t="s">
        <v>58</v>
      </c>
      <c r="E13" s="25">
        <v>46083</v>
      </c>
      <c r="F13" s="27">
        <v>155788.20000000001</v>
      </c>
      <c r="G13" s="26"/>
      <c r="H13" s="26" t="s">
        <v>615</v>
      </c>
      <c r="I13" s="27">
        <v>0</v>
      </c>
      <c r="J13" s="26">
        <v>0</v>
      </c>
      <c r="K13" s="28" t="s">
        <v>1125</v>
      </c>
      <c r="L13" s="26" t="s">
        <v>1126</v>
      </c>
      <c r="M13" s="26"/>
    </row>
    <row r="14" spans="1:13" x14ac:dyDescent="0.3">
      <c r="A14" s="25">
        <v>46083</v>
      </c>
      <c r="B14" s="26"/>
      <c r="C14" s="27">
        <v>1500000</v>
      </c>
      <c r="D14" s="26" t="s">
        <v>59</v>
      </c>
      <c r="E14" s="25">
        <v>46083</v>
      </c>
      <c r="F14" s="27">
        <v>1500000</v>
      </c>
      <c r="G14" s="26"/>
      <c r="H14" s="26" t="s">
        <v>619</v>
      </c>
      <c r="I14" s="27">
        <v>0</v>
      </c>
      <c r="J14" s="26">
        <v>0</v>
      </c>
      <c r="K14" s="28" t="s">
        <v>1125</v>
      </c>
      <c r="L14" s="26" t="s">
        <v>1126</v>
      </c>
      <c r="M14" s="26"/>
    </row>
    <row r="15" spans="1:13" x14ac:dyDescent="0.3">
      <c r="A15" s="25">
        <v>46083</v>
      </c>
      <c r="B15" s="26"/>
      <c r="C15" s="27">
        <v>3500000</v>
      </c>
      <c r="D15" s="26" t="s">
        <v>60</v>
      </c>
      <c r="E15" s="25">
        <v>46083</v>
      </c>
      <c r="F15" s="27">
        <v>3500000</v>
      </c>
      <c r="G15" s="26"/>
      <c r="H15" s="26" t="s">
        <v>612</v>
      </c>
      <c r="I15" s="27">
        <v>0</v>
      </c>
      <c r="J15" s="26">
        <v>0</v>
      </c>
      <c r="K15" s="28" t="s">
        <v>1125</v>
      </c>
      <c r="L15" s="26" t="s">
        <v>1126</v>
      </c>
      <c r="M15" s="26"/>
    </row>
    <row r="16" spans="1:13" x14ac:dyDescent="0.3">
      <c r="A16" s="25">
        <v>46083</v>
      </c>
      <c r="B16" s="27">
        <v>10000000</v>
      </c>
      <c r="C16" s="26"/>
      <c r="D16" s="26" t="s">
        <v>61</v>
      </c>
      <c r="E16" s="25">
        <v>46083</v>
      </c>
      <c r="F16" s="26"/>
      <c r="G16" s="27">
        <v>10000000</v>
      </c>
      <c r="H16" s="26" t="s">
        <v>614</v>
      </c>
      <c r="I16" s="27">
        <v>0</v>
      </c>
      <c r="J16" s="26">
        <v>0</v>
      </c>
      <c r="K16" s="28" t="s">
        <v>1125</v>
      </c>
      <c r="L16" s="26" t="s">
        <v>1126</v>
      </c>
      <c r="M16" s="26"/>
    </row>
    <row r="17" spans="1:13" x14ac:dyDescent="0.3">
      <c r="A17" s="25">
        <v>46083</v>
      </c>
      <c r="B17" s="27">
        <v>815844.94</v>
      </c>
      <c r="C17" s="26"/>
      <c r="D17" s="26" t="s">
        <v>62</v>
      </c>
      <c r="E17" s="25">
        <v>46083</v>
      </c>
      <c r="F17" s="26"/>
      <c r="G17" s="27">
        <v>815844.94</v>
      </c>
      <c r="H17" s="26" t="s">
        <v>617</v>
      </c>
      <c r="I17" s="27">
        <v>0</v>
      </c>
      <c r="J17" s="26">
        <v>0</v>
      </c>
      <c r="K17" s="28" t="s">
        <v>1125</v>
      </c>
      <c r="L17" s="26" t="s">
        <v>1126</v>
      </c>
      <c r="M17" s="26"/>
    </row>
    <row r="18" spans="1:13" x14ac:dyDescent="0.3">
      <c r="A18" s="25">
        <v>46084</v>
      </c>
      <c r="B18" s="26"/>
      <c r="C18" s="27">
        <v>177280.27</v>
      </c>
      <c r="D18" s="26" t="s">
        <v>71</v>
      </c>
      <c r="E18" s="25">
        <v>46084</v>
      </c>
      <c r="F18" s="27">
        <v>177280.27</v>
      </c>
      <c r="G18" s="26"/>
      <c r="H18" s="26" t="s">
        <v>645</v>
      </c>
      <c r="I18" s="27">
        <v>0</v>
      </c>
      <c r="J18" s="26">
        <v>0</v>
      </c>
      <c r="K18" s="28" t="s">
        <v>1125</v>
      </c>
      <c r="L18" s="26" t="s">
        <v>1126</v>
      </c>
      <c r="M18" s="26"/>
    </row>
    <row r="19" spans="1:13" x14ac:dyDescent="0.3">
      <c r="A19" s="25">
        <v>46084</v>
      </c>
      <c r="B19" s="26"/>
      <c r="C19" s="27">
        <v>5078567.09</v>
      </c>
      <c r="D19" s="26" t="s">
        <v>76</v>
      </c>
      <c r="E19" s="25">
        <v>46084</v>
      </c>
      <c r="F19" s="27">
        <v>5078567.09</v>
      </c>
      <c r="G19" s="26"/>
      <c r="H19" s="26" t="s">
        <v>620</v>
      </c>
      <c r="I19" s="27">
        <v>0</v>
      </c>
      <c r="J19" s="26">
        <v>0</v>
      </c>
      <c r="K19" s="28" t="s">
        <v>1125</v>
      </c>
      <c r="L19" s="26" t="s">
        <v>1126</v>
      </c>
      <c r="M19" s="26"/>
    </row>
    <row r="20" spans="1:13" x14ac:dyDescent="0.3">
      <c r="A20" s="25">
        <v>46084</v>
      </c>
      <c r="B20" s="26"/>
      <c r="C20" s="27">
        <v>41771.35</v>
      </c>
      <c r="D20" s="26" t="s">
        <v>77</v>
      </c>
      <c r="E20" s="25">
        <v>46084</v>
      </c>
      <c r="F20" s="27">
        <v>41771.35</v>
      </c>
      <c r="G20" s="26"/>
      <c r="H20" s="26" t="s">
        <v>645</v>
      </c>
      <c r="I20" s="27">
        <v>0</v>
      </c>
      <c r="J20" s="26">
        <v>0</v>
      </c>
      <c r="K20" s="28" t="s">
        <v>1125</v>
      </c>
      <c r="L20" s="26" t="s">
        <v>1126</v>
      </c>
      <c r="M20" s="26"/>
    </row>
    <row r="21" spans="1:13" x14ac:dyDescent="0.3">
      <c r="A21" s="25">
        <v>46084</v>
      </c>
      <c r="B21" s="26"/>
      <c r="C21" s="27">
        <v>66691.62</v>
      </c>
      <c r="D21" s="26" t="s">
        <v>78</v>
      </c>
      <c r="E21" s="25">
        <v>46084</v>
      </c>
      <c r="F21" s="27">
        <v>66691.62</v>
      </c>
      <c r="G21" s="26"/>
      <c r="H21" s="26" t="s">
        <v>628</v>
      </c>
      <c r="I21" s="27">
        <v>0</v>
      </c>
      <c r="J21" s="26">
        <v>0</v>
      </c>
      <c r="K21" s="28" t="s">
        <v>1125</v>
      </c>
      <c r="L21" s="26" t="s">
        <v>1126</v>
      </c>
      <c r="M21" s="26"/>
    </row>
    <row r="22" spans="1:13" x14ac:dyDescent="0.3">
      <c r="A22" s="25">
        <v>46084</v>
      </c>
      <c r="B22" s="26"/>
      <c r="C22" s="27">
        <v>376285.8</v>
      </c>
      <c r="D22" s="26" t="s">
        <v>79</v>
      </c>
      <c r="E22" s="25">
        <v>46084</v>
      </c>
      <c r="F22" s="27">
        <v>376285.8</v>
      </c>
      <c r="G22" s="26"/>
      <c r="H22" s="26" t="s">
        <v>630</v>
      </c>
      <c r="I22" s="27">
        <v>0</v>
      </c>
      <c r="J22" s="26">
        <v>0</v>
      </c>
      <c r="K22" s="28" t="s">
        <v>1125</v>
      </c>
      <c r="L22" s="26" t="s">
        <v>1126</v>
      </c>
      <c r="M22" s="26"/>
    </row>
    <row r="23" spans="1:13" x14ac:dyDescent="0.3">
      <c r="A23" s="25">
        <v>46084</v>
      </c>
      <c r="B23" s="26"/>
      <c r="C23" s="27">
        <v>111289.75</v>
      </c>
      <c r="D23" s="26" t="s">
        <v>80</v>
      </c>
      <c r="E23" s="25">
        <v>46084</v>
      </c>
      <c r="F23" s="27">
        <v>111289.75</v>
      </c>
      <c r="G23" s="26"/>
      <c r="H23" s="26" t="s">
        <v>632</v>
      </c>
      <c r="I23" s="27">
        <v>0</v>
      </c>
      <c r="J23" s="26">
        <v>0</v>
      </c>
      <c r="K23" s="28" t="s">
        <v>1125</v>
      </c>
      <c r="L23" s="26" t="s">
        <v>1126</v>
      </c>
      <c r="M23" s="26"/>
    </row>
    <row r="24" spans="1:13" x14ac:dyDescent="0.3">
      <c r="A24" s="25">
        <v>46084</v>
      </c>
      <c r="B24" s="26"/>
      <c r="C24" s="27">
        <v>698727.85</v>
      </c>
      <c r="D24" s="26" t="s">
        <v>81</v>
      </c>
      <c r="E24" s="25">
        <v>46084</v>
      </c>
      <c r="F24" s="27">
        <v>698727.85</v>
      </c>
      <c r="G24" s="26"/>
      <c r="H24" s="26" t="s">
        <v>634</v>
      </c>
      <c r="I24" s="27">
        <v>0</v>
      </c>
      <c r="J24" s="26">
        <v>0</v>
      </c>
      <c r="K24" s="28" t="s">
        <v>1125</v>
      </c>
      <c r="L24" s="26" t="s">
        <v>1126</v>
      </c>
      <c r="M24" s="26"/>
    </row>
    <row r="25" spans="1:13" x14ac:dyDescent="0.3">
      <c r="A25" s="25">
        <v>46084</v>
      </c>
      <c r="B25" s="26"/>
      <c r="C25" s="27">
        <v>41895</v>
      </c>
      <c r="D25" s="26" t="s">
        <v>82</v>
      </c>
      <c r="E25" s="25">
        <v>46084</v>
      </c>
      <c r="F25" s="27">
        <v>41895</v>
      </c>
      <c r="G25" s="26"/>
      <c r="H25" s="26" t="s">
        <v>636</v>
      </c>
      <c r="I25" s="27">
        <v>0</v>
      </c>
      <c r="J25" s="26">
        <v>0</v>
      </c>
      <c r="K25" s="28" t="s">
        <v>1125</v>
      </c>
      <c r="L25" s="26" t="s">
        <v>1126</v>
      </c>
      <c r="M25" s="26"/>
    </row>
    <row r="26" spans="1:13" x14ac:dyDescent="0.3">
      <c r="A26" s="25">
        <v>46084</v>
      </c>
      <c r="B26" s="26"/>
      <c r="C26" s="27">
        <v>1676255.37</v>
      </c>
      <c r="D26" s="26" t="s">
        <v>84</v>
      </c>
      <c r="E26" s="25">
        <v>46084</v>
      </c>
      <c r="F26" s="27">
        <v>1676255.37</v>
      </c>
      <c r="G26" s="26"/>
      <c r="H26" s="26" t="s">
        <v>641</v>
      </c>
      <c r="I26" s="27">
        <v>0</v>
      </c>
      <c r="J26" s="26">
        <v>0</v>
      </c>
      <c r="K26" s="28" t="s">
        <v>1125</v>
      </c>
      <c r="L26" s="26" t="s">
        <v>1126</v>
      </c>
      <c r="M26" s="26"/>
    </row>
    <row r="27" spans="1:13" x14ac:dyDescent="0.3">
      <c r="A27" s="25">
        <v>46084</v>
      </c>
      <c r="B27" s="27">
        <v>175593.51</v>
      </c>
      <c r="C27" s="26"/>
      <c r="D27" s="26" t="s">
        <v>85</v>
      </c>
      <c r="E27" s="25">
        <v>46084</v>
      </c>
      <c r="F27" s="26"/>
      <c r="G27" s="27">
        <v>175593.51</v>
      </c>
      <c r="H27" s="26" t="s">
        <v>623</v>
      </c>
      <c r="I27" s="27">
        <v>0</v>
      </c>
      <c r="J27" s="26">
        <v>0</v>
      </c>
      <c r="K27" s="28" t="s">
        <v>1125</v>
      </c>
      <c r="L27" s="26" t="s">
        <v>1126</v>
      </c>
      <c r="M27" s="26"/>
    </row>
    <row r="28" spans="1:13" x14ac:dyDescent="0.3">
      <c r="A28" s="25">
        <v>46084</v>
      </c>
      <c r="B28" s="27">
        <v>920576.26</v>
      </c>
      <c r="C28" s="26"/>
      <c r="D28" s="26" t="s">
        <v>86</v>
      </c>
      <c r="E28" s="25">
        <v>46084</v>
      </c>
      <c r="F28" s="26"/>
      <c r="G28" s="27">
        <v>920576.26</v>
      </c>
      <c r="H28" s="26" t="s">
        <v>622</v>
      </c>
      <c r="I28" s="27">
        <v>0</v>
      </c>
      <c r="J28" s="26">
        <v>0</v>
      </c>
      <c r="K28" s="28" t="s">
        <v>1125</v>
      </c>
      <c r="L28" s="26" t="s">
        <v>1126</v>
      </c>
      <c r="M28" s="26"/>
    </row>
    <row r="29" spans="1:13" x14ac:dyDescent="0.3">
      <c r="A29" s="25">
        <v>46084</v>
      </c>
      <c r="B29" s="27">
        <v>353925</v>
      </c>
      <c r="C29" s="26"/>
      <c r="D29" s="26" t="s">
        <v>87</v>
      </c>
      <c r="E29" s="25">
        <v>46084</v>
      </c>
      <c r="F29" s="26"/>
      <c r="G29" s="27">
        <v>353925</v>
      </c>
      <c r="H29" s="26" t="s">
        <v>626</v>
      </c>
      <c r="I29" s="27">
        <v>0</v>
      </c>
      <c r="J29" s="26">
        <v>0</v>
      </c>
      <c r="K29" s="28" t="s">
        <v>1125</v>
      </c>
      <c r="L29" s="26" t="s">
        <v>1126</v>
      </c>
      <c r="M29" s="26"/>
    </row>
    <row r="30" spans="1:13" x14ac:dyDescent="0.3">
      <c r="A30" s="25">
        <v>46084</v>
      </c>
      <c r="B30" s="27">
        <v>500000</v>
      </c>
      <c r="C30" s="26"/>
      <c r="D30" s="26" t="s">
        <v>88</v>
      </c>
      <c r="E30" s="25">
        <v>46084</v>
      </c>
      <c r="F30" s="26"/>
      <c r="G30" s="27">
        <v>500000</v>
      </c>
      <c r="H30" s="26" t="s">
        <v>640</v>
      </c>
      <c r="I30" s="27">
        <v>0</v>
      </c>
      <c r="J30" s="26">
        <v>0</v>
      </c>
      <c r="K30" s="28" t="s">
        <v>1125</v>
      </c>
      <c r="L30" s="26" t="s">
        <v>1126</v>
      </c>
      <c r="M30" s="26"/>
    </row>
    <row r="31" spans="1:13" x14ac:dyDescent="0.3">
      <c r="A31" s="25">
        <v>46084</v>
      </c>
      <c r="B31" s="27">
        <v>7643370</v>
      </c>
      <c r="C31" s="26"/>
      <c r="D31" s="26" t="s">
        <v>89</v>
      </c>
      <c r="E31" s="25">
        <v>46084</v>
      </c>
      <c r="F31" s="26"/>
      <c r="G31" s="27">
        <v>7643370</v>
      </c>
      <c r="H31" s="26" t="s">
        <v>627</v>
      </c>
      <c r="I31" s="27">
        <v>0</v>
      </c>
      <c r="J31" s="26">
        <v>0</v>
      </c>
      <c r="K31" s="28" t="s">
        <v>1125</v>
      </c>
      <c r="L31" s="26" t="s">
        <v>1126</v>
      </c>
      <c r="M31" s="26"/>
    </row>
    <row r="32" spans="1:13" x14ac:dyDescent="0.3">
      <c r="A32" s="25">
        <v>46084</v>
      </c>
      <c r="B32" s="27">
        <v>710000</v>
      </c>
      <c r="C32" s="26"/>
      <c r="D32" s="26" t="s">
        <v>90</v>
      </c>
      <c r="E32" s="25">
        <v>46084</v>
      </c>
      <c r="F32" s="26"/>
      <c r="G32" s="27">
        <v>710000</v>
      </c>
      <c r="H32" s="26" t="s">
        <v>638</v>
      </c>
      <c r="I32" s="27">
        <v>0</v>
      </c>
      <c r="J32" s="26">
        <v>0</v>
      </c>
      <c r="K32" s="28" t="s">
        <v>1125</v>
      </c>
      <c r="L32" s="26" t="s">
        <v>1126</v>
      </c>
      <c r="M32" s="26"/>
    </row>
    <row r="33" spans="1:13" x14ac:dyDescent="0.3">
      <c r="A33" s="25">
        <v>46084</v>
      </c>
      <c r="B33" s="27">
        <v>440846.7</v>
      </c>
      <c r="C33" s="26"/>
      <c r="D33" s="26" t="s">
        <v>91</v>
      </c>
      <c r="E33" s="25">
        <v>46084</v>
      </c>
      <c r="F33" s="26"/>
      <c r="G33" s="27">
        <v>440846.7</v>
      </c>
      <c r="H33" s="26" t="s">
        <v>639</v>
      </c>
      <c r="I33" s="27">
        <v>0</v>
      </c>
      <c r="J33" s="26">
        <v>0</v>
      </c>
      <c r="K33" s="28" t="s">
        <v>1125</v>
      </c>
      <c r="L33" s="26" t="s">
        <v>1126</v>
      </c>
      <c r="M33" s="26"/>
    </row>
    <row r="34" spans="1:13" x14ac:dyDescent="0.3">
      <c r="A34" s="25">
        <v>46084</v>
      </c>
      <c r="B34" s="27">
        <v>72894.69</v>
      </c>
      <c r="C34" s="26"/>
      <c r="D34" s="26" t="s">
        <v>92</v>
      </c>
      <c r="E34" s="25">
        <v>46084</v>
      </c>
      <c r="F34" s="26"/>
      <c r="G34" s="27">
        <v>72894.69</v>
      </c>
      <c r="H34" s="26" t="s">
        <v>625</v>
      </c>
      <c r="I34" s="27">
        <v>0</v>
      </c>
      <c r="J34" s="26">
        <v>0</v>
      </c>
      <c r="K34" s="28" t="s">
        <v>1125</v>
      </c>
      <c r="L34" s="26" t="s">
        <v>1126</v>
      </c>
      <c r="M34" s="26"/>
    </row>
    <row r="35" spans="1:13" x14ac:dyDescent="0.3">
      <c r="A35" s="25">
        <v>46084</v>
      </c>
      <c r="B35" s="27">
        <v>109631.34</v>
      </c>
      <c r="C35" s="26"/>
      <c r="D35" s="26" t="s">
        <v>93</v>
      </c>
      <c r="E35" s="25">
        <v>46084</v>
      </c>
      <c r="F35" s="26"/>
      <c r="G35" s="27">
        <v>109631.34</v>
      </c>
      <c r="H35" s="26" t="s">
        <v>624</v>
      </c>
      <c r="I35" s="27">
        <v>0</v>
      </c>
      <c r="J35" s="26">
        <v>0</v>
      </c>
      <c r="K35" s="28" t="s">
        <v>1125</v>
      </c>
      <c r="L35" s="26" t="s">
        <v>1126</v>
      </c>
      <c r="M35" s="26"/>
    </row>
    <row r="36" spans="1:13" x14ac:dyDescent="0.3">
      <c r="A36" s="25">
        <v>46085</v>
      </c>
      <c r="B36" s="26"/>
      <c r="C36" s="27">
        <v>93757.34</v>
      </c>
      <c r="D36" s="26" t="s">
        <v>98</v>
      </c>
      <c r="E36" s="25">
        <v>46085</v>
      </c>
      <c r="F36" s="27">
        <v>93757.34</v>
      </c>
      <c r="G36" s="26"/>
      <c r="H36" s="26" t="s">
        <v>650</v>
      </c>
      <c r="I36" s="27">
        <v>0</v>
      </c>
      <c r="J36" s="26">
        <v>0</v>
      </c>
      <c r="K36" s="28" t="s">
        <v>1125</v>
      </c>
      <c r="L36" s="26" t="s">
        <v>1126</v>
      </c>
      <c r="M36" s="26"/>
    </row>
    <row r="37" spans="1:13" x14ac:dyDescent="0.3">
      <c r="A37" s="25">
        <v>46085</v>
      </c>
      <c r="B37" s="26"/>
      <c r="C37" s="27">
        <v>149075.54999999999</v>
      </c>
      <c r="D37" s="26" t="s">
        <v>99</v>
      </c>
      <c r="E37" s="25">
        <v>46085</v>
      </c>
      <c r="F37" s="27">
        <v>149075.54999999999</v>
      </c>
      <c r="G37" s="26"/>
      <c r="H37" s="26" t="s">
        <v>650</v>
      </c>
      <c r="I37" s="27">
        <v>0</v>
      </c>
      <c r="J37" s="26">
        <v>0</v>
      </c>
      <c r="K37" s="28" t="s">
        <v>1125</v>
      </c>
      <c r="L37" s="26" t="s">
        <v>1126</v>
      </c>
      <c r="M37" s="26"/>
    </row>
    <row r="38" spans="1:13" x14ac:dyDescent="0.3">
      <c r="A38" s="25">
        <v>46085</v>
      </c>
      <c r="B38" s="26"/>
      <c r="C38" s="27">
        <v>43392</v>
      </c>
      <c r="D38" s="26" t="s">
        <v>100</v>
      </c>
      <c r="E38" s="25">
        <v>46085</v>
      </c>
      <c r="F38" s="27">
        <v>43392</v>
      </c>
      <c r="G38" s="26"/>
      <c r="H38" s="26" t="s">
        <v>648</v>
      </c>
      <c r="I38" s="27">
        <v>0</v>
      </c>
      <c r="J38" s="26">
        <v>0</v>
      </c>
      <c r="K38" s="28" t="s">
        <v>1125</v>
      </c>
      <c r="L38" s="26" t="s">
        <v>1126</v>
      </c>
      <c r="M38" s="26"/>
    </row>
    <row r="39" spans="1:13" x14ac:dyDescent="0.3">
      <c r="A39" s="25">
        <v>46085</v>
      </c>
      <c r="B39" s="26"/>
      <c r="C39" s="27">
        <v>21971.77</v>
      </c>
      <c r="D39" s="26" t="s">
        <v>101</v>
      </c>
      <c r="E39" s="25">
        <v>46085</v>
      </c>
      <c r="F39" s="27">
        <v>21971.77</v>
      </c>
      <c r="G39" s="26"/>
      <c r="H39" s="26" t="s">
        <v>646</v>
      </c>
      <c r="I39" s="27">
        <v>0</v>
      </c>
      <c r="J39" s="26">
        <v>0</v>
      </c>
      <c r="K39" s="28" t="s">
        <v>1125</v>
      </c>
      <c r="L39" s="26" t="s">
        <v>1126</v>
      </c>
      <c r="M39" s="26"/>
    </row>
    <row r="40" spans="1:13" x14ac:dyDescent="0.3">
      <c r="A40" s="25">
        <v>46086</v>
      </c>
      <c r="B40" s="26"/>
      <c r="C40" s="27">
        <v>23590.97</v>
      </c>
      <c r="D40" s="26" t="s">
        <v>105</v>
      </c>
      <c r="E40" s="25">
        <v>46086</v>
      </c>
      <c r="F40" s="27">
        <v>23590.97</v>
      </c>
      <c r="G40" s="26"/>
      <c r="H40" s="26" t="s">
        <v>675</v>
      </c>
      <c r="I40" s="27">
        <v>0</v>
      </c>
      <c r="J40" s="26">
        <v>0</v>
      </c>
      <c r="K40" s="28" t="s">
        <v>1125</v>
      </c>
      <c r="L40" s="26" t="s">
        <v>1126</v>
      </c>
      <c r="M40" s="26"/>
    </row>
    <row r="41" spans="1:13" x14ac:dyDescent="0.3">
      <c r="A41" s="25">
        <v>46086</v>
      </c>
      <c r="B41" s="26"/>
      <c r="C41" s="27">
        <v>113286.66</v>
      </c>
      <c r="D41" s="26" t="s">
        <v>111</v>
      </c>
      <c r="E41" s="25">
        <v>46086</v>
      </c>
      <c r="F41" s="27">
        <v>113286.66</v>
      </c>
      <c r="G41" s="26"/>
      <c r="H41" s="26" t="s">
        <v>675</v>
      </c>
      <c r="I41" s="27">
        <v>0</v>
      </c>
      <c r="J41" s="26">
        <v>0</v>
      </c>
      <c r="K41" s="28" t="s">
        <v>1125</v>
      </c>
      <c r="L41" s="26" t="s">
        <v>1126</v>
      </c>
      <c r="M41" s="26"/>
    </row>
    <row r="42" spans="1:13" x14ac:dyDescent="0.3">
      <c r="A42" s="25">
        <v>46086</v>
      </c>
      <c r="B42" s="26"/>
      <c r="C42" s="27">
        <v>44232</v>
      </c>
      <c r="D42" s="26" t="s">
        <v>112</v>
      </c>
      <c r="E42" s="25">
        <v>46086</v>
      </c>
      <c r="F42" s="27">
        <v>44232</v>
      </c>
      <c r="G42" s="26"/>
      <c r="H42" s="26" t="s">
        <v>663</v>
      </c>
      <c r="I42" s="27">
        <v>0</v>
      </c>
      <c r="J42" s="26">
        <v>0</v>
      </c>
      <c r="K42" s="28" t="s">
        <v>1125</v>
      </c>
      <c r="L42" s="26" t="s">
        <v>1126</v>
      </c>
      <c r="M42" s="26"/>
    </row>
    <row r="43" spans="1:13" x14ac:dyDescent="0.3">
      <c r="A43" s="25">
        <v>46086</v>
      </c>
      <c r="B43" s="26"/>
      <c r="C43" s="27">
        <v>621363.6</v>
      </c>
      <c r="D43" s="26" t="s">
        <v>113</v>
      </c>
      <c r="E43" s="25">
        <v>46086</v>
      </c>
      <c r="F43" s="27">
        <v>621363.6</v>
      </c>
      <c r="G43" s="26"/>
      <c r="H43" s="26" t="s">
        <v>667</v>
      </c>
      <c r="I43" s="27">
        <v>0</v>
      </c>
      <c r="J43" s="26">
        <v>0</v>
      </c>
      <c r="K43" s="28" t="s">
        <v>1125</v>
      </c>
      <c r="L43" s="26" t="s">
        <v>1126</v>
      </c>
      <c r="M43" s="26"/>
    </row>
    <row r="44" spans="1:13" x14ac:dyDescent="0.3">
      <c r="A44" s="25">
        <v>46086</v>
      </c>
      <c r="B44" s="26"/>
      <c r="C44" s="27">
        <v>1000000</v>
      </c>
      <c r="D44" s="26" t="s">
        <v>114</v>
      </c>
      <c r="E44" s="25">
        <v>46086</v>
      </c>
      <c r="F44" s="26"/>
      <c r="G44" s="27">
        <v>1000000</v>
      </c>
      <c r="H44" s="26" t="s">
        <v>659</v>
      </c>
      <c r="I44" s="27">
        <v>0</v>
      </c>
      <c r="J44" s="26">
        <v>0</v>
      </c>
      <c r="K44" s="28" t="s">
        <v>1125</v>
      </c>
      <c r="L44" s="26" t="s">
        <v>1126</v>
      </c>
      <c r="M44" s="26"/>
    </row>
    <row r="45" spans="1:13" x14ac:dyDescent="0.3">
      <c r="A45" s="25">
        <v>46086</v>
      </c>
      <c r="B45" s="27">
        <v>586850</v>
      </c>
      <c r="C45" s="26"/>
      <c r="D45" s="26" t="s">
        <v>115</v>
      </c>
      <c r="E45" s="25">
        <v>46086</v>
      </c>
      <c r="F45" s="26"/>
      <c r="G45" s="27">
        <v>586850</v>
      </c>
      <c r="H45" s="26" t="s">
        <v>661</v>
      </c>
      <c r="I45" s="27">
        <v>0</v>
      </c>
      <c r="J45" s="26">
        <v>0</v>
      </c>
      <c r="K45" s="28" t="s">
        <v>1125</v>
      </c>
      <c r="L45" s="26" t="s">
        <v>1126</v>
      </c>
      <c r="M45" s="26"/>
    </row>
    <row r="46" spans="1:13" x14ac:dyDescent="0.3">
      <c r="A46" s="25">
        <v>46086</v>
      </c>
      <c r="B46" s="27">
        <v>18326</v>
      </c>
      <c r="C46" s="26"/>
      <c r="D46" s="26" t="s">
        <v>116</v>
      </c>
      <c r="E46" s="25">
        <v>46086</v>
      </c>
      <c r="F46" s="26"/>
      <c r="G46" s="27">
        <v>18326</v>
      </c>
      <c r="H46" s="26" t="s">
        <v>662</v>
      </c>
      <c r="I46" s="27">
        <v>0</v>
      </c>
      <c r="J46" s="26">
        <v>0</v>
      </c>
      <c r="K46" s="28" t="s">
        <v>1125</v>
      </c>
      <c r="L46" s="26" t="s">
        <v>1126</v>
      </c>
      <c r="M46" s="26"/>
    </row>
    <row r="47" spans="1:13" x14ac:dyDescent="0.3">
      <c r="A47" s="25">
        <v>46086</v>
      </c>
      <c r="B47" s="27">
        <v>138293.60999999999</v>
      </c>
      <c r="C47" s="26"/>
      <c r="D47" s="26" t="s">
        <v>117</v>
      </c>
      <c r="E47" s="25">
        <v>46086</v>
      </c>
      <c r="F47" s="26"/>
      <c r="G47" s="27">
        <v>138293.60999999999</v>
      </c>
      <c r="H47" s="26" t="s">
        <v>652</v>
      </c>
      <c r="I47" s="27">
        <v>0</v>
      </c>
      <c r="J47" s="26">
        <v>0</v>
      </c>
      <c r="K47" s="28" t="s">
        <v>1125</v>
      </c>
      <c r="L47" s="26" t="s">
        <v>1126</v>
      </c>
      <c r="M47" s="26"/>
    </row>
    <row r="48" spans="1:13" x14ac:dyDescent="0.3">
      <c r="A48" s="25">
        <v>46086</v>
      </c>
      <c r="B48" s="27">
        <v>116107.55</v>
      </c>
      <c r="C48" s="26"/>
      <c r="D48" s="26" t="s">
        <v>118</v>
      </c>
      <c r="E48" s="25">
        <v>46086</v>
      </c>
      <c r="F48" s="26"/>
      <c r="G48" s="27">
        <v>116107.55</v>
      </c>
      <c r="H48" s="26" t="s">
        <v>651</v>
      </c>
      <c r="I48" s="27">
        <v>0</v>
      </c>
      <c r="J48" s="26">
        <v>0</v>
      </c>
      <c r="K48" s="28" t="s">
        <v>1125</v>
      </c>
      <c r="L48" s="26" t="s">
        <v>1126</v>
      </c>
      <c r="M48" s="26"/>
    </row>
    <row r="49" spans="1:13" x14ac:dyDescent="0.3">
      <c r="A49" s="25">
        <v>46086</v>
      </c>
      <c r="B49" s="27">
        <v>1000000</v>
      </c>
      <c r="C49" s="26"/>
      <c r="D49" s="26" t="s">
        <v>119</v>
      </c>
      <c r="E49" s="25">
        <v>46086</v>
      </c>
      <c r="F49" s="27">
        <v>1000000</v>
      </c>
      <c r="G49" s="26"/>
      <c r="H49" s="26" t="s">
        <v>666</v>
      </c>
      <c r="I49" s="27">
        <v>0</v>
      </c>
      <c r="J49" s="26">
        <v>0</v>
      </c>
      <c r="K49" s="28" t="s">
        <v>1125</v>
      </c>
      <c r="L49" s="26" t="s">
        <v>1126</v>
      </c>
      <c r="M49" s="26"/>
    </row>
    <row r="50" spans="1:13" x14ac:dyDescent="0.3">
      <c r="A50" s="25">
        <v>46086</v>
      </c>
      <c r="B50" s="27">
        <v>934228.37</v>
      </c>
      <c r="C50" s="26"/>
      <c r="D50" s="26" t="s">
        <v>120</v>
      </c>
      <c r="E50" s="25">
        <v>46086</v>
      </c>
      <c r="F50" s="26"/>
      <c r="G50" s="27">
        <v>934228.37</v>
      </c>
      <c r="H50" s="26" t="s">
        <v>658</v>
      </c>
      <c r="I50" s="27">
        <v>0</v>
      </c>
      <c r="J50" s="26">
        <v>0</v>
      </c>
      <c r="K50" s="28" t="s">
        <v>1125</v>
      </c>
      <c r="L50" s="26" t="s">
        <v>1126</v>
      </c>
      <c r="M50" s="26"/>
    </row>
    <row r="51" spans="1:13" x14ac:dyDescent="0.3">
      <c r="A51" s="25">
        <v>46086</v>
      </c>
      <c r="B51" s="27">
        <v>690000</v>
      </c>
      <c r="C51" s="26"/>
      <c r="D51" s="26" t="s">
        <v>121</v>
      </c>
      <c r="E51" s="25">
        <v>46086</v>
      </c>
      <c r="F51" s="26"/>
      <c r="G51" s="27">
        <v>690000</v>
      </c>
      <c r="H51" s="26" t="s">
        <v>657</v>
      </c>
      <c r="I51" s="27">
        <v>0</v>
      </c>
      <c r="J51" s="26">
        <v>0</v>
      </c>
      <c r="K51" s="28" t="s">
        <v>1125</v>
      </c>
      <c r="L51" s="26" t="s">
        <v>1126</v>
      </c>
      <c r="M51" s="26"/>
    </row>
    <row r="52" spans="1:13" x14ac:dyDescent="0.3">
      <c r="A52" s="25">
        <v>46086</v>
      </c>
      <c r="B52" s="27">
        <v>18086.63</v>
      </c>
      <c r="C52" s="26"/>
      <c r="D52" s="26" t="s">
        <v>122</v>
      </c>
      <c r="E52" s="25">
        <v>46086</v>
      </c>
      <c r="F52" s="26"/>
      <c r="G52" s="27">
        <v>18086.63</v>
      </c>
      <c r="H52" s="26" t="s">
        <v>656</v>
      </c>
      <c r="I52" s="27">
        <v>0</v>
      </c>
      <c r="J52" s="26">
        <v>0</v>
      </c>
      <c r="K52" s="28" t="s">
        <v>1125</v>
      </c>
      <c r="L52" s="26" t="s">
        <v>1126</v>
      </c>
      <c r="M52" s="26"/>
    </row>
    <row r="53" spans="1:13" x14ac:dyDescent="0.3">
      <c r="A53" s="25">
        <v>46086</v>
      </c>
      <c r="B53" s="27">
        <v>532160.57999999996</v>
      </c>
      <c r="C53" s="26"/>
      <c r="D53" s="26" t="s">
        <v>123</v>
      </c>
      <c r="E53" s="25">
        <v>46086</v>
      </c>
      <c r="F53" s="26"/>
      <c r="G53" s="27">
        <v>532160.57999999996</v>
      </c>
      <c r="H53" s="26" t="s">
        <v>655</v>
      </c>
      <c r="I53" s="27">
        <v>0</v>
      </c>
      <c r="J53" s="26">
        <v>0</v>
      </c>
      <c r="K53" s="28" t="s">
        <v>1125</v>
      </c>
      <c r="L53" s="26" t="s">
        <v>1126</v>
      </c>
      <c r="M53" s="26"/>
    </row>
    <row r="54" spans="1:13" x14ac:dyDescent="0.3">
      <c r="A54" s="25">
        <v>46086</v>
      </c>
      <c r="B54" s="27">
        <v>1071148</v>
      </c>
      <c r="C54" s="26"/>
      <c r="D54" s="26" t="s">
        <v>124</v>
      </c>
      <c r="E54" s="25">
        <v>46086</v>
      </c>
      <c r="F54" s="26"/>
      <c r="G54" s="27">
        <v>1071148</v>
      </c>
      <c r="H54" s="26" t="s">
        <v>654</v>
      </c>
      <c r="I54" s="27">
        <v>0</v>
      </c>
      <c r="J54" s="26">
        <v>0</v>
      </c>
      <c r="K54" s="28" t="s">
        <v>1125</v>
      </c>
      <c r="L54" s="26" t="s">
        <v>1126</v>
      </c>
      <c r="M54" s="26"/>
    </row>
    <row r="55" spans="1:13" x14ac:dyDescent="0.3">
      <c r="A55" s="25">
        <v>46086</v>
      </c>
      <c r="B55" s="27">
        <v>800000</v>
      </c>
      <c r="C55" s="26"/>
      <c r="D55" s="26" t="s">
        <v>125</v>
      </c>
      <c r="E55" s="25">
        <v>46086</v>
      </c>
      <c r="F55" s="26"/>
      <c r="G55" s="27">
        <v>800000</v>
      </c>
      <c r="H55" s="26" t="s">
        <v>653</v>
      </c>
      <c r="I55" s="27">
        <v>0</v>
      </c>
      <c r="J55" s="26">
        <v>0</v>
      </c>
      <c r="K55" s="28" t="s">
        <v>1125</v>
      </c>
      <c r="L55" s="26" t="s">
        <v>1126</v>
      </c>
      <c r="M55" s="26"/>
    </row>
    <row r="56" spans="1:13" x14ac:dyDescent="0.3">
      <c r="A56" s="25">
        <v>46086</v>
      </c>
      <c r="B56" s="26"/>
      <c r="C56" s="27">
        <v>1593833.47</v>
      </c>
      <c r="D56" s="26" t="s">
        <v>126</v>
      </c>
      <c r="E56" s="25">
        <v>46086</v>
      </c>
      <c r="F56" s="27">
        <v>1593833.47</v>
      </c>
      <c r="G56" s="26"/>
      <c r="H56" s="26" t="s">
        <v>673</v>
      </c>
      <c r="I56" s="27">
        <v>0</v>
      </c>
      <c r="J56" s="26">
        <v>0</v>
      </c>
      <c r="K56" s="28" t="s">
        <v>1125</v>
      </c>
      <c r="L56" s="26" t="s">
        <v>1126</v>
      </c>
      <c r="M56" s="26"/>
    </row>
    <row r="57" spans="1:13" x14ac:dyDescent="0.3">
      <c r="A57" s="25">
        <v>46086</v>
      </c>
      <c r="B57" s="26"/>
      <c r="C57" s="27">
        <v>2085341</v>
      </c>
      <c r="D57" s="26" t="s">
        <v>127</v>
      </c>
      <c r="E57" s="25">
        <v>46086</v>
      </c>
      <c r="F57" s="27">
        <v>2085341</v>
      </c>
      <c r="G57" s="26"/>
      <c r="H57" s="26" t="s">
        <v>671</v>
      </c>
      <c r="I57" s="27">
        <v>0</v>
      </c>
      <c r="J57" s="26">
        <v>0</v>
      </c>
      <c r="K57" s="28" t="s">
        <v>1125</v>
      </c>
      <c r="L57" s="26" t="s">
        <v>1126</v>
      </c>
      <c r="M57" s="26"/>
    </row>
    <row r="58" spans="1:13" x14ac:dyDescent="0.3">
      <c r="A58" s="25">
        <v>46086</v>
      </c>
      <c r="B58" s="26"/>
      <c r="C58" s="27">
        <v>4968.9399999999996</v>
      </c>
      <c r="D58" s="26" t="s">
        <v>128</v>
      </c>
      <c r="E58" s="25">
        <v>46086</v>
      </c>
      <c r="F58" s="27">
        <v>4968.9399999999996</v>
      </c>
      <c r="G58" s="26"/>
      <c r="H58" s="26" t="s">
        <v>669</v>
      </c>
      <c r="I58" s="27">
        <v>0</v>
      </c>
      <c r="J58" s="26">
        <v>0</v>
      </c>
      <c r="K58" s="28" t="s">
        <v>1125</v>
      </c>
      <c r="L58" s="26" t="s">
        <v>1126</v>
      </c>
      <c r="M58" s="26"/>
    </row>
    <row r="59" spans="1:13" x14ac:dyDescent="0.3">
      <c r="A59" s="25">
        <v>46086</v>
      </c>
      <c r="B59" s="27">
        <v>1249500</v>
      </c>
      <c r="C59" s="26"/>
      <c r="D59" s="26" t="s">
        <v>130</v>
      </c>
      <c r="E59" s="25">
        <v>46086</v>
      </c>
      <c r="F59" s="26"/>
      <c r="G59" s="27">
        <v>1249500</v>
      </c>
      <c r="H59" s="26" t="s">
        <v>660</v>
      </c>
      <c r="I59" s="27">
        <v>0</v>
      </c>
      <c r="J59" s="26">
        <v>0</v>
      </c>
      <c r="K59" s="28" t="s">
        <v>1125</v>
      </c>
      <c r="L59" s="26" t="s">
        <v>1126</v>
      </c>
      <c r="M59" s="26"/>
    </row>
    <row r="60" spans="1:13" x14ac:dyDescent="0.3">
      <c r="A60" s="25">
        <v>46087</v>
      </c>
      <c r="B60" s="26"/>
      <c r="C60" s="27">
        <v>29445.21</v>
      </c>
      <c r="D60" s="26" t="s">
        <v>148</v>
      </c>
      <c r="E60" s="25">
        <v>46087</v>
      </c>
      <c r="F60" s="27">
        <v>29445.21</v>
      </c>
      <c r="G60" s="26"/>
      <c r="H60" s="26" t="s">
        <v>703</v>
      </c>
      <c r="I60" s="27">
        <v>0</v>
      </c>
      <c r="J60" s="26">
        <v>0</v>
      </c>
      <c r="K60" s="28" t="s">
        <v>1125</v>
      </c>
      <c r="L60" s="26" t="s">
        <v>1126</v>
      </c>
      <c r="M60" s="26"/>
    </row>
    <row r="61" spans="1:13" x14ac:dyDescent="0.3">
      <c r="A61" s="25">
        <v>46087</v>
      </c>
      <c r="B61" s="26"/>
      <c r="C61" s="27">
        <v>65385.599999999999</v>
      </c>
      <c r="D61" s="26" t="s">
        <v>149</v>
      </c>
      <c r="E61" s="25">
        <v>46087</v>
      </c>
      <c r="F61" s="27">
        <v>65385.599999999999</v>
      </c>
      <c r="G61" s="26"/>
      <c r="H61" s="26" t="s">
        <v>676</v>
      </c>
      <c r="I61" s="27">
        <v>0</v>
      </c>
      <c r="J61" s="26">
        <v>0</v>
      </c>
      <c r="K61" s="28" t="s">
        <v>1125</v>
      </c>
      <c r="L61" s="26" t="s">
        <v>1126</v>
      </c>
      <c r="M61" s="26"/>
    </row>
    <row r="62" spans="1:13" x14ac:dyDescent="0.3">
      <c r="A62" s="25">
        <v>46087</v>
      </c>
      <c r="B62" s="26"/>
      <c r="C62" s="27">
        <v>692835</v>
      </c>
      <c r="D62" s="26" t="s">
        <v>150</v>
      </c>
      <c r="E62" s="25">
        <v>46087</v>
      </c>
      <c r="F62" s="27">
        <v>692835</v>
      </c>
      <c r="G62" s="26"/>
      <c r="H62" s="26" t="s">
        <v>678</v>
      </c>
      <c r="I62" s="27">
        <v>0</v>
      </c>
      <c r="J62" s="26">
        <v>0</v>
      </c>
      <c r="K62" s="28" t="s">
        <v>1125</v>
      </c>
      <c r="L62" s="26" t="s">
        <v>1126</v>
      </c>
      <c r="M62" s="26"/>
    </row>
    <row r="63" spans="1:13" x14ac:dyDescent="0.3">
      <c r="A63" s="25">
        <v>46087</v>
      </c>
      <c r="B63" s="26"/>
      <c r="C63" s="27">
        <v>130791.44</v>
      </c>
      <c r="D63" s="26" t="s">
        <v>151</v>
      </c>
      <c r="E63" s="25">
        <v>46087</v>
      </c>
      <c r="F63" s="27">
        <v>130791.44</v>
      </c>
      <c r="G63" s="26"/>
      <c r="H63" s="26" t="s">
        <v>703</v>
      </c>
      <c r="I63" s="27">
        <v>0</v>
      </c>
      <c r="J63" s="26">
        <v>0</v>
      </c>
      <c r="K63" s="28" t="s">
        <v>1125</v>
      </c>
      <c r="L63" s="26" t="s">
        <v>1126</v>
      </c>
      <c r="M63" s="26"/>
    </row>
    <row r="64" spans="1:13" x14ac:dyDescent="0.3">
      <c r="A64" s="25">
        <v>46087</v>
      </c>
      <c r="B64" s="26"/>
      <c r="C64" s="27">
        <v>14984.42</v>
      </c>
      <c r="D64" s="26" t="s">
        <v>152</v>
      </c>
      <c r="E64" s="25">
        <v>46087</v>
      </c>
      <c r="F64" s="27">
        <v>14984.42</v>
      </c>
      <c r="G64" s="26"/>
      <c r="H64" s="26" t="s">
        <v>680</v>
      </c>
      <c r="I64" s="27">
        <v>0</v>
      </c>
      <c r="J64" s="26">
        <v>0</v>
      </c>
      <c r="K64" s="28" t="s">
        <v>1125</v>
      </c>
      <c r="L64" s="26" t="s">
        <v>1126</v>
      </c>
      <c r="M64" s="26"/>
    </row>
    <row r="65" spans="1:13" x14ac:dyDescent="0.3">
      <c r="A65" s="25">
        <v>46087</v>
      </c>
      <c r="B65" s="26"/>
      <c r="C65" s="27">
        <v>17535.62</v>
      </c>
      <c r="D65" s="26" t="s">
        <v>153</v>
      </c>
      <c r="E65" s="25">
        <v>46087</v>
      </c>
      <c r="F65" s="27">
        <v>17535.62</v>
      </c>
      <c r="G65" s="26"/>
      <c r="H65" s="26" t="s">
        <v>682</v>
      </c>
      <c r="I65" s="27">
        <v>0</v>
      </c>
      <c r="J65" s="26">
        <v>0</v>
      </c>
      <c r="K65" s="28" t="s">
        <v>1125</v>
      </c>
      <c r="L65" s="26" t="s">
        <v>1126</v>
      </c>
      <c r="M65" s="26"/>
    </row>
    <row r="66" spans="1:13" x14ac:dyDescent="0.3">
      <c r="A66" s="25">
        <v>46087</v>
      </c>
      <c r="B66" s="26"/>
      <c r="C66" s="27">
        <v>686920.15</v>
      </c>
      <c r="D66" s="26" t="s">
        <v>154</v>
      </c>
      <c r="E66" s="25">
        <v>46087</v>
      </c>
      <c r="F66" s="27">
        <v>686920.15</v>
      </c>
      <c r="G66" s="26"/>
      <c r="H66" s="26" t="s">
        <v>687</v>
      </c>
      <c r="I66" s="27">
        <v>0</v>
      </c>
      <c r="J66" s="26">
        <v>0</v>
      </c>
      <c r="K66" s="28" t="s">
        <v>1125</v>
      </c>
      <c r="L66" s="26" t="s">
        <v>1126</v>
      </c>
      <c r="M66" s="26"/>
    </row>
    <row r="67" spans="1:13" x14ac:dyDescent="0.3">
      <c r="A67" s="25">
        <v>46087</v>
      </c>
      <c r="B67" s="26"/>
      <c r="C67" s="27">
        <v>33984.639999999999</v>
      </c>
      <c r="D67" s="26" t="s">
        <v>155</v>
      </c>
      <c r="E67" s="25">
        <v>46087</v>
      </c>
      <c r="F67" s="27">
        <v>33984.639999999999</v>
      </c>
      <c r="G67" s="26"/>
      <c r="H67" s="26" t="s">
        <v>689</v>
      </c>
      <c r="I67" s="27">
        <v>0</v>
      </c>
      <c r="J67" s="26">
        <v>0</v>
      </c>
      <c r="K67" s="28" t="s">
        <v>1125</v>
      </c>
      <c r="L67" s="26" t="s">
        <v>1126</v>
      </c>
      <c r="M67" s="26"/>
    </row>
    <row r="68" spans="1:13" x14ac:dyDescent="0.3">
      <c r="A68" s="25">
        <v>46087</v>
      </c>
      <c r="B68" s="26"/>
      <c r="C68" s="27">
        <v>11188.66</v>
      </c>
      <c r="D68" s="26" t="s">
        <v>156</v>
      </c>
      <c r="E68" s="25">
        <v>46087</v>
      </c>
      <c r="F68" s="27">
        <v>11188.66</v>
      </c>
      <c r="G68" s="26"/>
      <c r="H68" s="26" t="s">
        <v>691</v>
      </c>
      <c r="I68" s="27">
        <v>0</v>
      </c>
      <c r="J68" s="26">
        <v>0</v>
      </c>
      <c r="K68" s="28" t="s">
        <v>1125</v>
      </c>
      <c r="L68" s="26" t="s">
        <v>1126</v>
      </c>
      <c r="M68" s="26"/>
    </row>
    <row r="69" spans="1:13" x14ac:dyDescent="0.3">
      <c r="A69" s="25">
        <v>46087</v>
      </c>
      <c r="B69" s="26"/>
      <c r="C69" s="27">
        <v>12069.75</v>
      </c>
      <c r="D69" s="26" t="s">
        <v>159</v>
      </c>
      <c r="E69" s="25">
        <v>46087</v>
      </c>
      <c r="F69" s="27">
        <v>12069.75</v>
      </c>
      <c r="G69" s="26"/>
      <c r="H69" s="26" t="s">
        <v>701</v>
      </c>
      <c r="I69" s="27">
        <v>0</v>
      </c>
      <c r="J69" s="26">
        <v>0</v>
      </c>
      <c r="K69" s="28" t="s">
        <v>1125</v>
      </c>
      <c r="L69" s="26" t="s">
        <v>1126</v>
      </c>
      <c r="M69" s="26"/>
    </row>
    <row r="70" spans="1:13" x14ac:dyDescent="0.3">
      <c r="A70" s="25">
        <v>46087</v>
      </c>
      <c r="B70" s="26"/>
      <c r="C70" s="27">
        <v>28606.25</v>
      </c>
      <c r="D70" s="26" t="s">
        <v>160</v>
      </c>
      <c r="E70" s="25">
        <v>46087</v>
      </c>
      <c r="F70" s="27">
        <v>28606.25</v>
      </c>
      <c r="G70" s="26"/>
      <c r="H70" s="26" t="s">
        <v>699</v>
      </c>
      <c r="I70" s="27">
        <v>0</v>
      </c>
      <c r="J70" s="26">
        <v>0</v>
      </c>
      <c r="K70" s="28" t="s">
        <v>1125</v>
      </c>
      <c r="L70" s="26" t="s">
        <v>1126</v>
      </c>
      <c r="M70" s="26"/>
    </row>
    <row r="71" spans="1:13" x14ac:dyDescent="0.3">
      <c r="A71" s="25">
        <v>46087</v>
      </c>
      <c r="B71" s="26"/>
      <c r="C71" s="27">
        <v>26218.89</v>
      </c>
      <c r="D71" s="26" t="s">
        <v>161</v>
      </c>
      <c r="E71" s="25">
        <v>46087</v>
      </c>
      <c r="F71" s="27">
        <v>26218.89</v>
      </c>
      <c r="G71" s="26"/>
      <c r="H71" s="26" t="s">
        <v>697</v>
      </c>
      <c r="I71" s="27">
        <v>0</v>
      </c>
      <c r="J71" s="26">
        <v>0</v>
      </c>
      <c r="K71" s="28" t="s">
        <v>1125</v>
      </c>
      <c r="L71" s="26" t="s">
        <v>1126</v>
      </c>
      <c r="M71" s="26"/>
    </row>
    <row r="72" spans="1:13" x14ac:dyDescent="0.3">
      <c r="A72" s="25">
        <v>46087</v>
      </c>
      <c r="B72" s="26"/>
      <c r="C72" s="27">
        <v>15080</v>
      </c>
      <c r="D72" s="26" t="s">
        <v>162</v>
      </c>
      <c r="E72" s="25">
        <v>46087</v>
      </c>
      <c r="F72" s="27">
        <v>15080</v>
      </c>
      <c r="G72" s="26"/>
      <c r="H72" s="26" t="s">
        <v>695</v>
      </c>
      <c r="I72" s="27">
        <v>0</v>
      </c>
      <c r="J72" s="26">
        <v>0</v>
      </c>
      <c r="K72" s="28" t="s">
        <v>1125</v>
      </c>
      <c r="L72" s="26" t="s">
        <v>1126</v>
      </c>
      <c r="M72" s="26"/>
    </row>
    <row r="73" spans="1:13" x14ac:dyDescent="0.3">
      <c r="A73" s="25">
        <v>46087</v>
      </c>
      <c r="B73" s="26"/>
      <c r="C73" s="27">
        <v>2051329.44</v>
      </c>
      <c r="D73" s="26" t="s">
        <v>163</v>
      </c>
      <c r="E73" s="25">
        <v>46087</v>
      </c>
      <c r="F73" s="27">
        <v>2051329.44</v>
      </c>
      <c r="G73" s="26"/>
      <c r="H73" s="26" t="s">
        <v>693</v>
      </c>
      <c r="I73" s="27">
        <v>0</v>
      </c>
      <c r="J73" s="26">
        <v>0</v>
      </c>
      <c r="K73" s="28" t="s">
        <v>1125</v>
      </c>
      <c r="L73" s="26" t="s">
        <v>1126</v>
      </c>
      <c r="M73" s="26"/>
    </row>
    <row r="74" spans="1:13" x14ac:dyDescent="0.3">
      <c r="A74" s="25">
        <v>46088</v>
      </c>
      <c r="B74" s="26"/>
      <c r="C74" s="27">
        <v>11110.9</v>
      </c>
      <c r="D74" s="26" t="s">
        <v>166</v>
      </c>
      <c r="E74" s="25">
        <v>46088</v>
      </c>
      <c r="F74" s="27">
        <v>11110.9</v>
      </c>
      <c r="G74" s="26"/>
      <c r="H74" s="26" t="s">
        <v>704</v>
      </c>
      <c r="I74" s="27">
        <v>0</v>
      </c>
      <c r="J74" s="26">
        <v>0</v>
      </c>
      <c r="K74" s="28" t="s">
        <v>1125</v>
      </c>
      <c r="L74" s="26" t="s">
        <v>1126</v>
      </c>
      <c r="M74" s="26"/>
    </row>
    <row r="75" spans="1:13" x14ac:dyDescent="0.3">
      <c r="A75" s="25">
        <v>46089</v>
      </c>
      <c r="B75" s="26"/>
      <c r="C75" s="27">
        <v>9257.52</v>
      </c>
      <c r="D75" s="26" t="s">
        <v>167</v>
      </c>
      <c r="E75" s="25">
        <v>46089</v>
      </c>
      <c r="F75" s="27">
        <v>9257.52</v>
      </c>
      <c r="G75" s="26"/>
      <c r="H75" s="26" t="s">
        <v>706</v>
      </c>
      <c r="I75" s="27">
        <v>0</v>
      </c>
      <c r="J75" s="26">
        <v>0</v>
      </c>
      <c r="K75" s="28" t="s">
        <v>1125</v>
      </c>
      <c r="L75" s="26" t="s">
        <v>1126</v>
      </c>
      <c r="M75" s="26"/>
    </row>
    <row r="76" spans="1:13" x14ac:dyDescent="0.3">
      <c r="A76" s="25">
        <v>46090</v>
      </c>
      <c r="B76" s="26"/>
      <c r="C76" s="27">
        <v>709282.98</v>
      </c>
      <c r="D76" s="26" t="s">
        <v>168</v>
      </c>
      <c r="E76" s="25">
        <v>46090</v>
      </c>
      <c r="F76" s="27">
        <v>709282.98</v>
      </c>
      <c r="G76" s="26"/>
      <c r="H76" s="26" t="s">
        <v>729</v>
      </c>
      <c r="I76" s="27">
        <v>0</v>
      </c>
      <c r="J76" s="26">
        <v>0</v>
      </c>
      <c r="K76" s="28" t="s">
        <v>1125</v>
      </c>
      <c r="L76" s="26" t="s">
        <v>1126</v>
      </c>
      <c r="M76" s="26"/>
    </row>
    <row r="77" spans="1:13" x14ac:dyDescent="0.3">
      <c r="A77" s="25">
        <v>46090</v>
      </c>
      <c r="B77" s="26"/>
      <c r="C77" s="27">
        <v>119664.46</v>
      </c>
      <c r="D77" s="26" t="s">
        <v>169</v>
      </c>
      <c r="E77" s="25">
        <v>46090</v>
      </c>
      <c r="F77" s="27">
        <v>119664.46</v>
      </c>
      <c r="G77" s="26"/>
      <c r="H77" s="26" t="s">
        <v>729</v>
      </c>
      <c r="I77" s="27">
        <v>0</v>
      </c>
      <c r="J77" s="26">
        <v>0</v>
      </c>
      <c r="K77" s="28" t="s">
        <v>1125</v>
      </c>
      <c r="L77" s="26" t="s">
        <v>1126</v>
      </c>
      <c r="M77" s="26"/>
    </row>
    <row r="78" spans="1:13" x14ac:dyDescent="0.3">
      <c r="A78" s="25">
        <v>46090</v>
      </c>
      <c r="B78" s="26"/>
      <c r="C78" s="27">
        <v>383868.6</v>
      </c>
      <c r="D78" s="26" t="s">
        <v>170</v>
      </c>
      <c r="E78" s="25">
        <v>46090</v>
      </c>
      <c r="F78" s="27">
        <v>383868.6</v>
      </c>
      <c r="G78" s="26"/>
      <c r="H78" s="26" t="s">
        <v>714</v>
      </c>
      <c r="I78" s="27">
        <v>0</v>
      </c>
      <c r="J78" s="26">
        <v>0</v>
      </c>
      <c r="K78" s="28" t="s">
        <v>1125</v>
      </c>
      <c r="L78" s="26" t="s">
        <v>1126</v>
      </c>
      <c r="M78" s="26"/>
    </row>
    <row r="79" spans="1:13" x14ac:dyDescent="0.3">
      <c r="A79" s="25">
        <v>46090</v>
      </c>
      <c r="B79" s="27">
        <v>26415466.68</v>
      </c>
      <c r="C79" s="26"/>
      <c r="D79" s="26" t="s">
        <v>171</v>
      </c>
      <c r="E79" s="25">
        <v>46090</v>
      </c>
      <c r="F79" s="26"/>
      <c r="G79" s="27">
        <v>26415466.68</v>
      </c>
      <c r="H79" s="26" t="s">
        <v>716</v>
      </c>
      <c r="I79" s="27">
        <v>0</v>
      </c>
      <c r="J79" s="26">
        <v>0</v>
      </c>
      <c r="K79" s="28" t="s">
        <v>1125</v>
      </c>
      <c r="L79" s="26" t="s">
        <v>1126</v>
      </c>
      <c r="M79" s="26"/>
    </row>
    <row r="80" spans="1:13" x14ac:dyDescent="0.3">
      <c r="A80" s="25">
        <v>46090</v>
      </c>
      <c r="B80" s="27">
        <v>99627.86</v>
      </c>
      <c r="C80" s="26"/>
      <c r="D80" s="26" t="s">
        <v>172</v>
      </c>
      <c r="E80" s="25">
        <v>46090</v>
      </c>
      <c r="F80" s="26"/>
      <c r="G80" s="27">
        <v>99627.86</v>
      </c>
      <c r="H80" s="26" t="s">
        <v>717</v>
      </c>
      <c r="I80" s="27">
        <v>0</v>
      </c>
      <c r="J80" s="26">
        <v>0</v>
      </c>
      <c r="K80" s="28" t="s">
        <v>1125</v>
      </c>
      <c r="L80" s="26" t="s">
        <v>1126</v>
      </c>
      <c r="M80" s="26"/>
    </row>
    <row r="81" spans="1:13" x14ac:dyDescent="0.3">
      <c r="A81" s="25">
        <v>46090</v>
      </c>
      <c r="B81" s="26"/>
      <c r="C81" s="27">
        <v>4203.18</v>
      </c>
      <c r="D81" s="26" t="s">
        <v>173</v>
      </c>
      <c r="E81" s="25">
        <v>46090</v>
      </c>
      <c r="F81" s="27">
        <v>4203.18</v>
      </c>
      <c r="G81" s="26"/>
      <c r="H81" s="26" t="s">
        <v>727</v>
      </c>
      <c r="I81" s="27">
        <v>0</v>
      </c>
      <c r="J81" s="26">
        <v>0</v>
      </c>
      <c r="K81" s="28" t="s">
        <v>1125</v>
      </c>
      <c r="L81" s="26" t="s">
        <v>1126</v>
      </c>
      <c r="M81" s="26"/>
    </row>
    <row r="82" spans="1:13" x14ac:dyDescent="0.3">
      <c r="A82" s="25">
        <v>46090</v>
      </c>
      <c r="B82" s="27">
        <v>124614</v>
      </c>
      <c r="C82" s="26"/>
      <c r="D82" s="26" t="s">
        <v>174</v>
      </c>
      <c r="E82" s="25">
        <v>46090</v>
      </c>
      <c r="F82" s="26"/>
      <c r="G82" s="27">
        <v>124614</v>
      </c>
      <c r="H82" s="26" t="s">
        <v>718</v>
      </c>
      <c r="I82" s="27">
        <v>0</v>
      </c>
      <c r="J82" s="26">
        <v>0</v>
      </c>
      <c r="K82" s="28" t="s">
        <v>1125</v>
      </c>
      <c r="L82" s="26" t="s">
        <v>1126</v>
      </c>
      <c r="M82" s="26"/>
    </row>
    <row r="83" spans="1:13" x14ac:dyDescent="0.3">
      <c r="A83" s="25">
        <v>46090</v>
      </c>
      <c r="B83" s="26"/>
      <c r="C83" s="27">
        <v>1221564</v>
      </c>
      <c r="D83" s="26" t="s">
        <v>175</v>
      </c>
      <c r="E83" s="25">
        <v>46090</v>
      </c>
      <c r="F83" s="27">
        <v>1221564</v>
      </c>
      <c r="G83" s="26"/>
      <c r="H83" s="26" t="s">
        <v>725</v>
      </c>
      <c r="I83" s="27">
        <v>0</v>
      </c>
      <c r="J83" s="26">
        <v>0</v>
      </c>
      <c r="K83" s="28" t="s">
        <v>1125</v>
      </c>
      <c r="L83" s="26" t="s">
        <v>1126</v>
      </c>
      <c r="M83" s="26"/>
    </row>
    <row r="84" spans="1:13" x14ac:dyDescent="0.3">
      <c r="A84" s="25">
        <v>46090</v>
      </c>
      <c r="B84" s="26"/>
      <c r="C84" s="27">
        <v>276530.8</v>
      </c>
      <c r="D84" s="26" t="s">
        <v>176</v>
      </c>
      <c r="E84" s="25">
        <v>46090</v>
      </c>
      <c r="F84" s="27">
        <v>276530.8</v>
      </c>
      <c r="G84" s="26"/>
      <c r="H84" s="26" t="s">
        <v>723</v>
      </c>
      <c r="I84" s="27">
        <v>0</v>
      </c>
      <c r="J84" s="26">
        <v>0</v>
      </c>
      <c r="K84" s="28" t="s">
        <v>1125</v>
      </c>
      <c r="L84" s="26" t="s">
        <v>1126</v>
      </c>
      <c r="M84" s="26"/>
    </row>
    <row r="85" spans="1:13" x14ac:dyDescent="0.3">
      <c r="A85" s="25">
        <v>46090</v>
      </c>
      <c r="B85" s="26"/>
      <c r="C85" s="27">
        <v>7417</v>
      </c>
      <c r="D85" s="26" t="s">
        <v>177</v>
      </c>
      <c r="E85" s="25">
        <v>46090</v>
      </c>
      <c r="F85" s="27">
        <v>7417</v>
      </c>
      <c r="G85" s="26"/>
      <c r="H85" s="26" t="s">
        <v>721</v>
      </c>
      <c r="I85" s="27">
        <v>0</v>
      </c>
      <c r="J85" s="26">
        <v>0</v>
      </c>
      <c r="K85" s="28" t="s">
        <v>1125</v>
      </c>
      <c r="L85" s="26" t="s">
        <v>1126</v>
      </c>
      <c r="M85" s="26"/>
    </row>
    <row r="86" spans="1:13" x14ac:dyDescent="0.3">
      <c r="A86" s="25">
        <v>46090</v>
      </c>
      <c r="B86" s="26"/>
      <c r="C86" s="27">
        <v>20030.88</v>
      </c>
      <c r="D86" s="26" t="s">
        <v>178</v>
      </c>
      <c r="E86" s="25">
        <v>46090</v>
      </c>
      <c r="F86" s="27">
        <v>20030.88</v>
      </c>
      <c r="G86" s="26"/>
      <c r="H86" s="26" t="s">
        <v>719</v>
      </c>
      <c r="I86" s="27">
        <v>0</v>
      </c>
      <c r="J86" s="26">
        <v>0</v>
      </c>
      <c r="K86" s="28" t="s">
        <v>1125</v>
      </c>
      <c r="L86" s="26" t="s">
        <v>1126</v>
      </c>
      <c r="M86" s="26"/>
    </row>
    <row r="87" spans="1:13" x14ac:dyDescent="0.3">
      <c r="A87" s="25">
        <v>46090</v>
      </c>
      <c r="B87" s="26"/>
      <c r="C87" s="27">
        <v>597001.80000000005</v>
      </c>
      <c r="D87" s="26" t="s">
        <v>64</v>
      </c>
      <c r="E87" s="25">
        <v>46090</v>
      </c>
      <c r="F87" s="27">
        <v>597001.80000000005</v>
      </c>
      <c r="G87" s="26"/>
      <c r="H87" s="26" t="s">
        <v>711</v>
      </c>
      <c r="I87" s="27">
        <v>0</v>
      </c>
      <c r="J87" s="26">
        <v>0</v>
      </c>
      <c r="K87" s="28" t="s">
        <v>1125</v>
      </c>
      <c r="L87" s="26" t="s">
        <v>1126</v>
      </c>
      <c r="M87" s="26"/>
    </row>
    <row r="88" spans="1:13" x14ac:dyDescent="0.3">
      <c r="A88" s="25">
        <v>46091</v>
      </c>
      <c r="B88" s="26"/>
      <c r="C88" s="27">
        <v>58802.63</v>
      </c>
      <c r="D88" s="26" t="s">
        <v>185</v>
      </c>
      <c r="E88" s="25">
        <v>46091</v>
      </c>
      <c r="F88" s="27">
        <v>58802.63</v>
      </c>
      <c r="G88" s="26"/>
      <c r="H88" s="26" t="s">
        <v>762</v>
      </c>
      <c r="I88" s="27">
        <v>0</v>
      </c>
      <c r="J88" s="26">
        <v>0</v>
      </c>
      <c r="K88" s="28" t="s">
        <v>1125</v>
      </c>
      <c r="L88" s="26" t="s">
        <v>1126</v>
      </c>
      <c r="M88" s="26"/>
    </row>
    <row r="89" spans="1:13" x14ac:dyDescent="0.3">
      <c r="A89" s="25">
        <v>46091</v>
      </c>
      <c r="B89" s="26"/>
      <c r="C89" s="27">
        <v>1024647.4</v>
      </c>
      <c r="D89" s="26" t="s">
        <v>187</v>
      </c>
      <c r="E89" s="25">
        <v>46091</v>
      </c>
      <c r="F89" s="27">
        <v>1024647.4</v>
      </c>
      <c r="G89" s="26"/>
      <c r="H89" s="26" t="s">
        <v>745</v>
      </c>
      <c r="I89" s="27">
        <v>0</v>
      </c>
      <c r="J89" s="26">
        <v>0</v>
      </c>
      <c r="K89" s="28" t="s">
        <v>1125</v>
      </c>
      <c r="L89" s="26" t="s">
        <v>1126</v>
      </c>
      <c r="M89" s="26"/>
    </row>
    <row r="90" spans="1:13" x14ac:dyDescent="0.3">
      <c r="A90" s="25">
        <v>46091</v>
      </c>
      <c r="B90" s="26"/>
      <c r="C90" s="27">
        <v>253589.73</v>
      </c>
      <c r="D90" s="26" t="s">
        <v>188</v>
      </c>
      <c r="E90" s="25">
        <v>46091</v>
      </c>
      <c r="F90" s="27">
        <v>253589.73</v>
      </c>
      <c r="G90" s="26"/>
      <c r="H90" s="26" t="s">
        <v>762</v>
      </c>
      <c r="I90" s="27">
        <v>0</v>
      </c>
      <c r="J90" s="26">
        <v>0</v>
      </c>
      <c r="K90" s="28" t="s">
        <v>1125</v>
      </c>
      <c r="L90" s="26" t="s">
        <v>1126</v>
      </c>
      <c r="M90" s="26"/>
    </row>
    <row r="91" spans="1:13" x14ac:dyDescent="0.3">
      <c r="A91" s="25">
        <v>46091</v>
      </c>
      <c r="B91" s="26"/>
      <c r="C91" s="27">
        <v>236436.76</v>
      </c>
      <c r="D91" s="26" t="s">
        <v>189</v>
      </c>
      <c r="E91" s="25">
        <v>46091</v>
      </c>
      <c r="F91" s="27">
        <v>236436.76</v>
      </c>
      <c r="G91" s="26"/>
      <c r="H91" s="26" t="s">
        <v>746</v>
      </c>
      <c r="I91" s="27">
        <v>0</v>
      </c>
      <c r="J91" s="26">
        <v>0</v>
      </c>
      <c r="K91" s="28" t="s">
        <v>1125</v>
      </c>
      <c r="L91" s="26" t="s">
        <v>1126</v>
      </c>
      <c r="M91" s="26"/>
    </row>
    <row r="92" spans="1:13" x14ac:dyDescent="0.3">
      <c r="A92" s="25">
        <v>46091</v>
      </c>
      <c r="B92" s="27">
        <v>70000000</v>
      </c>
      <c r="C92" s="26"/>
      <c r="D92" s="26" t="s">
        <v>190</v>
      </c>
      <c r="E92" s="25">
        <v>46091</v>
      </c>
      <c r="F92" s="26"/>
      <c r="G92" s="27">
        <v>70000000</v>
      </c>
      <c r="H92" s="26" t="s">
        <v>749</v>
      </c>
      <c r="I92" s="27">
        <v>0</v>
      </c>
      <c r="J92" s="26">
        <v>0</v>
      </c>
      <c r="K92" s="28" t="s">
        <v>1125</v>
      </c>
      <c r="L92" s="26" t="s">
        <v>1126</v>
      </c>
      <c r="M92" s="26"/>
    </row>
    <row r="93" spans="1:13" x14ac:dyDescent="0.3">
      <c r="A93" s="25">
        <v>46091</v>
      </c>
      <c r="B93" s="26"/>
      <c r="C93" s="27">
        <v>929482.2</v>
      </c>
      <c r="D93" s="26" t="s">
        <v>191</v>
      </c>
      <c r="E93" s="25">
        <v>46091</v>
      </c>
      <c r="F93" s="27">
        <v>929482.2</v>
      </c>
      <c r="G93" s="26"/>
      <c r="H93" s="26" t="s">
        <v>754</v>
      </c>
      <c r="I93" s="27">
        <v>0</v>
      </c>
      <c r="J93" s="26">
        <v>0</v>
      </c>
      <c r="K93" s="28" t="s">
        <v>1125</v>
      </c>
      <c r="L93" s="26" t="s">
        <v>1126</v>
      </c>
      <c r="M93" s="26"/>
    </row>
    <row r="94" spans="1:13" x14ac:dyDescent="0.3">
      <c r="A94" s="25">
        <v>46091</v>
      </c>
      <c r="B94" s="26"/>
      <c r="C94" s="27">
        <v>100000000</v>
      </c>
      <c r="D94" s="26" t="s">
        <v>192</v>
      </c>
      <c r="E94" s="25">
        <v>46091</v>
      </c>
      <c r="F94" s="27">
        <v>100000000</v>
      </c>
      <c r="G94" s="26"/>
      <c r="H94" s="26" t="s">
        <v>750</v>
      </c>
      <c r="I94" s="27">
        <v>0</v>
      </c>
      <c r="J94" s="26">
        <v>0</v>
      </c>
      <c r="K94" s="28" t="s">
        <v>1125</v>
      </c>
      <c r="L94" s="26" t="s">
        <v>1126</v>
      </c>
      <c r="M94" s="26"/>
    </row>
    <row r="95" spans="1:13" x14ac:dyDescent="0.3">
      <c r="A95" s="25">
        <v>46091</v>
      </c>
      <c r="B95" s="26"/>
      <c r="C95" s="27">
        <v>1000000</v>
      </c>
      <c r="D95" s="26" t="s">
        <v>193</v>
      </c>
      <c r="E95" s="25">
        <v>46091</v>
      </c>
      <c r="F95" s="27">
        <v>1000000</v>
      </c>
      <c r="G95" s="26"/>
      <c r="H95" s="26" t="s">
        <v>752</v>
      </c>
      <c r="I95" s="27">
        <v>0</v>
      </c>
      <c r="J95" s="26">
        <v>0</v>
      </c>
      <c r="K95" s="28" t="s">
        <v>1125</v>
      </c>
      <c r="L95" s="26" t="s">
        <v>1126</v>
      </c>
      <c r="M95" s="26"/>
    </row>
    <row r="96" spans="1:13" x14ac:dyDescent="0.3">
      <c r="A96" s="25">
        <v>46091</v>
      </c>
      <c r="B96" s="26"/>
      <c r="C96" s="27">
        <v>1000000</v>
      </c>
      <c r="D96" s="26" t="s">
        <v>194</v>
      </c>
      <c r="E96" s="25">
        <v>46091</v>
      </c>
      <c r="F96" s="27">
        <v>1000000</v>
      </c>
      <c r="G96" s="26"/>
      <c r="H96" s="26" t="s">
        <v>753</v>
      </c>
      <c r="I96" s="27">
        <v>0</v>
      </c>
      <c r="J96" s="26">
        <v>0</v>
      </c>
      <c r="K96" s="28" t="s">
        <v>1125</v>
      </c>
      <c r="L96" s="26" t="s">
        <v>1126</v>
      </c>
      <c r="M96" s="26"/>
    </row>
    <row r="97" spans="1:13" x14ac:dyDescent="0.3">
      <c r="A97" s="25">
        <v>46091</v>
      </c>
      <c r="B97" s="27">
        <v>100000000</v>
      </c>
      <c r="C97" s="26"/>
      <c r="D97" s="26" t="s">
        <v>195</v>
      </c>
      <c r="E97" s="25">
        <v>46091</v>
      </c>
      <c r="F97" s="26"/>
      <c r="G97" s="27">
        <v>100000000</v>
      </c>
      <c r="H97" s="26" t="s">
        <v>751</v>
      </c>
      <c r="I97" s="27">
        <v>0</v>
      </c>
      <c r="J97" s="26">
        <v>0</v>
      </c>
      <c r="K97" s="28" t="s">
        <v>1125</v>
      </c>
      <c r="L97" s="26" t="s">
        <v>1126</v>
      </c>
      <c r="M97" s="26"/>
    </row>
    <row r="98" spans="1:13" x14ac:dyDescent="0.3">
      <c r="A98" s="25">
        <v>46091</v>
      </c>
      <c r="B98" s="27">
        <v>866549.56</v>
      </c>
      <c r="C98" s="26"/>
      <c r="D98" s="26" t="s">
        <v>196</v>
      </c>
      <c r="E98" s="25">
        <v>46091</v>
      </c>
      <c r="F98" s="26"/>
      <c r="G98" s="27">
        <v>866549.56</v>
      </c>
      <c r="H98" s="26" t="s">
        <v>756</v>
      </c>
      <c r="I98" s="27">
        <v>0</v>
      </c>
      <c r="J98" s="26">
        <v>0</v>
      </c>
      <c r="K98" s="28" t="s">
        <v>1125</v>
      </c>
      <c r="L98" s="26" t="s">
        <v>1126</v>
      </c>
      <c r="M98" s="26"/>
    </row>
    <row r="99" spans="1:13" x14ac:dyDescent="0.3">
      <c r="A99" s="25">
        <v>46091</v>
      </c>
      <c r="B99" s="27">
        <v>121416.31</v>
      </c>
      <c r="C99" s="26"/>
      <c r="D99" s="26" t="s">
        <v>197</v>
      </c>
      <c r="E99" s="25">
        <v>46091</v>
      </c>
      <c r="F99" s="26"/>
      <c r="G99" s="27">
        <v>121416.31</v>
      </c>
      <c r="H99" s="26" t="s">
        <v>757</v>
      </c>
      <c r="I99" s="27">
        <v>0</v>
      </c>
      <c r="J99" s="26">
        <v>0</v>
      </c>
      <c r="K99" s="28" t="s">
        <v>1125</v>
      </c>
      <c r="L99" s="26" t="s">
        <v>1126</v>
      </c>
      <c r="M99" s="26"/>
    </row>
    <row r="100" spans="1:13" x14ac:dyDescent="0.3">
      <c r="A100" s="25">
        <v>46091</v>
      </c>
      <c r="B100" s="27">
        <v>221006.25</v>
      </c>
      <c r="C100" s="26"/>
      <c r="D100" s="26" t="s">
        <v>198</v>
      </c>
      <c r="E100" s="25">
        <v>46091</v>
      </c>
      <c r="F100" s="26"/>
      <c r="G100" s="27">
        <v>221006.25</v>
      </c>
      <c r="H100" s="26" t="s">
        <v>758</v>
      </c>
      <c r="I100" s="27">
        <v>0</v>
      </c>
      <c r="J100" s="26">
        <v>0</v>
      </c>
      <c r="K100" s="28" t="s">
        <v>1125</v>
      </c>
      <c r="L100" s="26" t="s">
        <v>1126</v>
      </c>
      <c r="M100" s="26"/>
    </row>
    <row r="101" spans="1:13" x14ac:dyDescent="0.3">
      <c r="A101" s="25">
        <v>46091</v>
      </c>
      <c r="B101" s="27">
        <v>559668.68000000005</v>
      </c>
      <c r="C101" s="26"/>
      <c r="D101" s="26" t="s">
        <v>199</v>
      </c>
      <c r="E101" s="25">
        <v>46091</v>
      </c>
      <c r="F101" s="26"/>
      <c r="G101" s="27">
        <v>559668.68000000005</v>
      </c>
      <c r="H101" s="26" t="s">
        <v>738</v>
      </c>
      <c r="I101" s="27">
        <v>0</v>
      </c>
      <c r="J101" s="26">
        <v>0</v>
      </c>
      <c r="K101" s="28" t="s">
        <v>1125</v>
      </c>
      <c r="L101" s="26" t="s">
        <v>1126</v>
      </c>
      <c r="M101" s="26"/>
    </row>
    <row r="102" spans="1:13" x14ac:dyDescent="0.3">
      <c r="A102" s="25">
        <v>46091</v>
      </c>
      <c r="B102" s="27">
        <v>177000</v>
      </c>
      <c r="C102" s="26"/>
      <c r="D102" s="26" t="s">
        <v>200</v>
      </c>
      <c r="E102" s="25">
        <v>46091</v>
      </c>
      <c r="F102" s="26"/>
      <c r="G102" s="27">
        <v>177000</v>
      </c>
      <c r="H102" s="26" t="s">
        <v>730</v>
      </c>
      <c r="I102" s="27">
        <v>0</v>
      </c>
      <c r="J102" s="26">
        <v>0</v>
      </c>
      <c r="K102" s="28" t="s">
        <v>1125</v>
      </c>
      <c r="L102" s="26" t="s">
        <v>1126</v>
      </c>
      <c r="M102" s="26"/>
    </row>
    <row r="103" spans="1:13" x14ac:dyDescent="0.3">
      <c r="A103" s="25">
        <v>46091</v>
      </c>
      <c r="B103" s="27">
        <v>155000</v>
      </c>
      <c r="C103" s="26"/>
      <c r="D103" s="26" t="s">
        <v>201</v>
      </c>
      <c r="E103" s="25">
        <v>46091</v>
      </c>
      <c r="F103" s="26"/>
      <c r="G103" s="27">
        <v>155000</v>
      </c>
      <c r="H103" s="26" t="s">
        <v>731</v>
      </c>
      <c r="I103" s="27">
        <v>0</v>
      </c>
      <c r="J103" s="26">
        <v>0</v>
      </c>
      <c r="K103" s="28" t="s">
        <v>1125</v>
      </c>
      <c r="L103" s="26" t="s">
        <v>1126</v>
      </c>
      <c r="M103" s="26"/>
    </row>
    <row r="104" spans="1:13" x14ac:dyDescent="0.3">
      <c r="A104" s="25">
        <v>46091</v>
      </c>
      <c r="B104" s="27">
        <v>131594.76</v>
      </c>
      <c r="C104" s="26"/>
      <c r="D104" s="26" t="s">
        <v>202</v>
      </c>
      <c r="E104" s="25">
        <v>46091</v>
      </c>
      <c r="F104" s="26"/>
      <c r="G104" s="27">
        <v>131594.76</v>
      </c>
      <c r="H104" s="26" t="s">
        <v>732</v>
      </c>
      <c r="I104" s="27">
        <v>0</v>
      </c>
      <c r="J104" s="26">
        <v>0</v>
      </c>
      <c r="K104" s="28" t="s">
        <v>1125</v>
      </c>
      <c r="L104" s="26" t="s">
        <v>1126</v>
      </c>
      <c r="M104" s="26"/>
    </row>
    <row r="105" spans="1:13" x14ac:dyDescent="0.3">
      <c r="A105" s="25">
        <v>46091</v>
      </c>
      <c r="B105" s="27">
        <v>110958.19</v>
      </c>
      <c r="C105" s="26"/>
      <c r="D105" s="26" t="s">
        <v>203</v>
      </c>
      <c r="E105" s="25">
        <v>46091</v>
      </c>
      <c r="F105" s="26"/>
      <c r="G105" s="27">
        <v>110958.19</v>
      </c>
      <c r="H105" s="26" t="s">
        <v>733</v>
      </c>
      <c r="I105" s="27">
        <v>0</v>
      </c>
      <c r="J105" s="26">
        <v>0</v>
      </c>
      <c r="K105" s="28" t="s">
        <v>1125</v>
      </c>
      <c r="L105" s="26" t="s">
        <v>1126</v>
      </c>
      <c r="M105" s="26"/>
    </row>
    <row r="106" spans="1:13" x14ac:dyDescent="0.3">
      <c r="A106" s="25">
        <v>46091</v>
      </c>
      <c r="B106" s="27">
        <v>28484.75</v>
      </c>
      <c r="C106" s="26"/>
      <c r="D106" s="26" t="s">
        <v>204</v>
      </c>
      <c r="E106" s="25">
        <v>46091</v>
      </c>
      <c r="F106" s="26"/>
      <c r="G106" s="27">
        <v>28484.75</v>
      </c>
      <c r="H106" s="26" t="s">
        <v>734</v>
      </c>
      <c r="I106" s="27">
        <v>0</v>
      </c>
      <c r="J106" s="26">
        <v>0</v>
      </c>
      <c r="K106" s="28" t="s">
        <v>1125</v>
      </c>
      <c r="L106" s="26" t="s">
        <v>1126</v>
      </c>
      <c r="M106" s="26"/>
    </row>
    <row r="107" spans="1:13" x14ac:dyDescent="0.3">
      <c r="A107" s="25">
        <v>46091</v>
      </c>
      <c r="B107" s="27">
        <v>39649.050000000003</v>
      </c>
      <c r="C107" s="26"/>
      <c r="D107" s="26" t="s">
        <v>205</v>
      </c>
      <c r="E107" s="25">
        <v>46091</v>
      </c>
      <c r="F107" s="26"/>
      <c r="G107" s="27">
        <v>39649.050000000003</v>
      </c>
      <c r="H107" s="26" t="s">
        <v>735</v>
      </c>
      <c r="I107" s="27">
        <v>0</v>
      </c>
      <c r="J107" s="26">
        <v>0</v>
      </c>
      <c r="K107" s="28" t="s">
        <v>1125</v>
      </c>
      <c r="L107" s="26" t="s">
        <v>1126</v>
      </c>
      <c r="M107" s="26"/>
    </row>
    <row r="108" spans="1:13" x14ac:dyDescent="0.3">
      <c r="A108" s="25">
        <v>46091</v>
      </c>
      <c r="B108" s="27">
        <v>115531.85</v>
      </c>
      <c r="C108" s="26"/>
      <c r="D108" s="26" t="s">
        <v>206</v>
      </c>
      <c r="E108" s="25">
        <v>46091</v>
      </c>
      <c r="F108" s="26"/>
      <c r="G108" s="27">
        <v>115531.85</v>
      </c>
      <c r="H108" s="26" t="s">
        <v>736</v>
      </c>
      <c r="I108" s="27">
        <v>0</v>
      </c>
      <c r="J108" s="26">
        <v>0</v>
      </c>
      <c r="K108" s="28" t="s">
        <v>1125</v>
      </c>
      <c r="L108" s="26" t="s">
        <v>1126</v>
      </c>
      <c r="M108" s="26"/>
    </row>
    <row r="109" spans="1:13" x14ac:dyDescent="0.3">
      <c r="A109" s="25">
        <v>46091</v>
      </c>
      <c r="B109" s="27">
        <v>30594.97</v>
      </c>
      <c r="C109" s="26"/>
      <c r="D109" s="26" t="s">
        <v>207</v>
      </c>
      <c r="E109" s="25">
        <v>46091</v>
      </c>
      <c r="F109" s="26"/>
      <c r="G109" s="27">
        <v>30594.97</v>
      </c>
      <c r="H109" s="26" t="s">
        <v>737</v>
      </c>
      <c r="I109" s="27">
        <v>0</v>
      </c>
      <c r="J109" s="26">
        <v>0</v>
      </c>
      <c r="K109" s="28" t="s">
        <v>1125</v>
      </c>
      <c r="L109" s="26" t="s">
        <v>1126</v>
      </c>
      <c r="M109" s="26"/>
    </row>
    <row r="110" spans="1:13" x14ac:dyDescent="0.3">
      <c r="A110" s="25">
        <v>46091</v>
      </c>
      <c r="B110" s="27">
        <v>1545864.54</v>
      </c>
      <c r="C110" s="26"/>
      <c r="D110" s="26" t="s">
        <v>208</v>
      </c>
      <c r="E110" s="25">
        <v>46091</v>
      </c>
      <c r="F110" s="26"/>
      <c r="G110" s="27">
        <v>1545864.54</v>
      </c>
      <c r="H110" s="26" t="s">
        <v>739</v>
      </c>
      <c r="I110" s="27">
        <v>0</v>
      </c>
      <c r="J110" s="26">
        <v>0</v>
      </c>
      <c r="K110" s="28" t="s">
        <v>1125</v>
      </c>
      <c r="L110" s="26" t="s">
        <v>1126</v>
      </c>
      <c r="M110" s="26"/>
    </row>
    <row r="111" spans="1:13" x14ac:dyDescent="0.3">
      <c r="A111" s="25">
        <v>46091</v>
      </c>
      <c r="B111" s="27">
        <v>292327.03999999998</v>
      </c>
      <c r="C111" s="26"/>
      <c r="D111" s="26" t="s">
        <v>209</v>
      </c>
      <c r="E111" s="25">
        <v>46091</v>
      </c>
      <c r="F111" s="26"/>
      <c r="G111" s="27">
        <v>292327.03999999998</v>
      </c>
      <c r="H111" s="26" t="s">
        <v>740</v>
      </c>
      <c r="I111" s="27">
        <v>0</v>
      </c>
      <c r="J111" s="26">
        <v>0</v>
      </c>
      <c r="K111" s="28" t="s">
        <v>1125</v>
      </c>
      <c r="L111" s="26" t="s">
        <v>1126</v>
      </c>
      <c r="M111" s="26"/>
    </row>
    <row r="112" spans="1:13" x14ac:dyDescent="0.3">
      <c r="A112" s="25">
        <v>46091</v>
      </c>
      <c r="B112" s="27">
        <v>404268.98</v>
      </c>
      <c r="C112" s="26"/>
      <c r="D112" s="26" t="s">
        <v>210</v>
      </c>
      <c r="E112" s="25">
        <v>46091</v>
      </c>
      <c r="F112" s="26"/>
      <c r="G112" s="27">
        <v>404268.98</v>
      </c>
      <c r="H112" s="26" t="s">
        <v>741</v>
      </c>
      <c r="I112" s="27">
        <v>0</v>
      </c>
      <c r="J112" s="26">
        <v>0</v>
      </c>
      <c r="K112" s="28" t="s">
        <v>1125</v>
      </c>
      <c r="L112" s="26" t="s">
        <v>1126</v>
      </c>
      <c r="M112" s="26"/>
    </row>
    <row r="113" spans="1:13" x14ac:dyDescent="0.3">
      <c r="A113" s="25">
        <v>46091</v>
      </c>
      <c r="B113" s="27">
        <v>84000</v>
      </c>
      <c r="C113" s="26"/>
      <c r="D113" s="26" t="s">
        <v>211</v>
      </c>
      <c r="E113" s="25">
        <v>46091</v>
      </c>
      <c r="F113" s="26"/>
      <c r="G113" s="27">
        <v>84000</v>
      </c>
      <c r="H113" s="26" t="s">
        <v>742</v>
      </c>
      <c r="I113" s="27">
        <v>0</v>
      </c>
      <c r="J113" s="26">
        <v>0</v>
      </c>
      <c r="K113" s="28" t="s">
        <v>1125</v>
      </c>
      <c r="L113" s="26" t="s">
        <v>1126</v>
      </c>
      <c r="M113" s="26"/>
    </row>
    <row r="114" spans="1:13" x14ac:dyDescent="0.3">
      <c r="A114" s="25">
        <v>46091</v>
      </c>
      <c r="B114" s="27">
        <v>459242.49</v>
      </c>
      <c r="C114" s="26"/>
      <c r="D114" s="26" t="s">
        <v>212</v>
      </c>
      <c r="E114" s="25">
        <v>46091</v>
      </c>
      <c r="F114" s="26"/>
      <c r="G114" s="27">
        <v>459242.49</v>
      </c>
      <c r="H114" s="26" t="s">
        <v>744</v>
      </c>
      <c r="I114" s="27">
        <v>0</v>
      </c>
      <c r="J114" s="26">
        <v>0</v>
      </c>
      <c r="K114" s="28" t="s">
        <v>1125</v>
      </c>
      <c r="L114" s="26" t="s">
        <v>1126</v>
      </c>
      <c r="M114" s="26"/>
    </row>
    <row r="115" spans="1:13" x14ac:dyDescent="0.3">
      <c r="A115" s="25">
        <v>46091</v>
      </c>
      <c r="B115" s="27">
        <v>862730</v>
      </c>
      <c r="C115" s="26"/>
      <c r="D115" s="26" t="s">
        <v>213</v>
      </c>
      <c r="E115" s="25">
        <v>46091</v>
      </c>
      <c r="F115" s="26"/>
      <c r="G115" s="27">
        <v>862730</v>
      </c>
      <c r="H115" s="26" t="s">
        <v>743</v>
      </c>
      <c r="I115" s="27">
        <v>0</v>
      </c>
      <c r="J115" s="26">
        <v>0</v>
      </c>
      <c r="K115" s="28" t="s">
        <v>1125</v>
      </c>
      <c r="L115" s="26" t="s">
        <v>1126</v>
      </c>
      <c r="M115" s="26"/>
    </row>
    <row r="116" spans="1:13" x14ac:dyDescent="0.3">
      <c r="A116" s="25">
        <v>46091</v>
      </c>
      <c r="B116" s="27">
        <v>649197.59</v>
      </c>
      <c r="C116" s="26"/>
      <c r="D116" s="26" t="s">
        <v>214</v>
      </c>
      <c r="E116" s="25">
        <v>46091</v>
      </c>
      <c r="F116" s="26"/>
      <c r="G116" s="27">
        <v>649197.59</v>
      </c>
      <c r="H116" s="26" t="s">
        <v>761</v>
      </c>
      <c r="I116" s="27">
        <v>0</v>
      </c>
      <c r="J116" s="26">
        <v>0</v>
      </c>
      <c r="K116" s="28" t="s">
        <v>1125</v>
      </c>
      <c r="L116" s="26" t="s">
        <v>1126</v>
      </c>
      <c r="M116" s="26"/>
    </row>
    <row r="117" spans="1:13" x14ac:dyDescent="0.3">
      <c r="A117" s="25">
        <v>46091</v>
      </c>
      <c r="B117" s="27">
        <v>851003.8</v>
      </c>
      <c r="C117" s="26"/>
      <c r="D117" s="26" t="s">
        <v>215</v>
      </c>
      <c r="E117" s="25">
        <v>46091</v>
      </c>
      <c r="F117" s="26"/>
      <c r="G117" s="27">
        <v>851003.8</v>
      </c>
      <c r="H117" s="26" t="s">
        <v>759</v>
      </c>
      <c r="I117" s="27">
        <v>0</v>
      </c>
      <c r="J117" s="26">
        <v>0</v>
      </c>
      <c r="K117" s="28" t="s">
        <v>1125</v>
      </c>
      <c r="L117" s="26" t="s">
        <v>1126</v>
      </c>
      <c r="M117" s="26"/>
    </row>
    <row r="118" spans="1:13" x14ac:dyDescent="0.3">
      <c r="A118" s="25">
        <v>46091</v>
      </c>
      <c r="B118" s="27">
        <v>67157.399999999994</v>
      </c>
      <c r="C118" s="26"/>
      <c r="D118" s="26" t="s">
        <v>216</v>
      </c>
      <c r="E118" s="25">
        <v>46091</v>
      </c>
      <c r="F118" s="26"/>
      <c r="G118" s="27">
        <v>67157.399999999994</v>
      </c>
      <c r="H118" s="26" t="s">
        <v>759</v>
      </c>
      <c r="I118" s="27">
        <v>0</v>
      </c>
      <c r="J118" s="26">
        <v>0</v>
      </c>
      <c r="K118" s="28" t="s">
        <v>1125</v>
      </c>
      <c r="L118" s="26" t="s">
        <v>1126</v>
      </c>
      <c r="M118" s="26"/>
    </row>
    <row r="119" spans="1:13" x14ac:dyDescent="0.3">
      <c r="A119" s="25">
        <v>46091</v>
      </c>
      <c r="B119" s="26"/>
      <c r="C119" s="27">
        <v>548459.80000000005</v>
      </c>
      <c r="D119" s="26" t="s">
        <v>217</v>
      </c>
      <c r="E119" s="25">
        <v>46091</v>
      </c>
      <c r="F119" s="27">
        <v>548459.80000000005</v>
      </c>
      <c r="G119" s="26"/>
      <c r="H119" s="26" t="s">
        <v>771</v>
      </c>
      <c r="I119" s="27">
        <v>0</v>
      </c>
      <c r="J119" s="26">
        <v>0</v>
      </c>
      <c r="K119" s="28" t="s">
        <v>1125</v>
      </c>
      <c r="L119" s="26" t="s">
        <v>1126</v>
      </c>
      <c r="M119" s="26"/>
    </row>
    <row r="120" spans="1:13" x14ac:dyDescent="0.3">
      <c r="A120" s="25">
        <v>46091</v>
      </c>
      <c r="B120" s="26"/>
      <c r="C120" s="27">
        <v>23858.03</v>
      </c>
      <c r="D120" s="26" t="s">
        <v>218</v>
      </c>
      <c r="E120" s="25">
        <v>46091</v>
      </c>
      <c r="F120" s="27">
        <v>23858.03</v>
      </c>
      <c r="G120" s="26"/>
      <c r="H120" s="26" t="s">
        <v>769</v>
      </c>
      <c r="I120" s="27">
        <v>0</v>
      </c>
      <c r="J120" s="26">
        <v>0</v>
      </c>
      <c r="K120" s="28" t="s">
        <v>1125</v>
      </c>
      <c r="L120" s="26" t="s">
        <v>1126</v>
      </c>
      <c r="M120" s="26"/>
    </row>
    <row r="121" spans="1:13" x14ac:dyDescent="0.3">
      <c r="A121" s="25">
        <v>46091</v>
      </c>
      <c r="B121" s="26"/>
      <c r="C121" s="27">
        <v>718310.78</v>
      </c>
      <c r="D121" s="26" t="s">
        <v>219</v>
      </c>
      <c r="E121" s="25">
        <v>46091</v>
      </c>
      <c r="F121" s="27">
        <v>718310.78</v>
      </c>
      <c r="G121" s="26"/>
      <c r="H121" s="26" t="s">
        <v>767</v>
      </c>
      <c r="I121" s="27">
        <v>0</v>
      </c>
      <c r="J121" s="26">
        <v>0</v>
      </c>
      <c r="K121" s="28" t="s">
        <v>1125</v>
      </c>
      <c r="L121" s="26" t="s">
        <v>1126</v>
      </c>
      <c r="M121" s="26"/>
    </row>
    <row r="122" spans="1:13" x14ac:dyDescent="0.3">
      <c r="A122" s="25">
        <v>46091</v>
      </c>
      <c r="B122" s="26"/>
      <c r="C122" s="27">
        <v>13001.79</v>
      </c>
      <c r="D122" s="26" t="s">
        <v>220</v>
      </c>
      <c r="E122" s="25">
        <v>46091</v>
      </c>
      <c r="F122" s="27">
        <v>13001.79</v>
      </c>
      <c r="G122" s="26"/>
      <c r="H122" s="26" t="s">
        <v>765</v>
      </c>
      <c r="I122" s="27">
        <v>0</v>
      </c>
      <c r="J122" s="26">
        <v>0</v>
      </c>
      <c r="K122" s="28" t="s">
        <v>1125</v>
      </c>
      <c r="L122" s="26" t="s">
        <v>1126</v>
      </c>
      <c r="M122" s="26"/>
    </row>
    <row r="123" spans="1:13" x14ac:dyDescent="0.3">
      <c r="A123" s="25">
        <v>46091</v>
      </c>
      <c r="B123" s="26"/>
      <c r="C123" s="27">
        <v>26894.33</v>
      </c>
      <c r="D123" s="26" t="s">
        <v>221</v>
      </c>
      <c r="E123" s="25">
        <v>46091</v>
      </c>
      <c r="F123" s="27">
        <v>26894.33</v>
      </c>
      <c r="G123" s="26"/>
      <c r="H123" s="26" t="s">
        <v>763</v>
      </c>
      <c r="I123" s="27">
        <v>0</v>
      </c>
      <c r="J123" s="26">
        <v>0</v>
      </c>
      <c r="K123" s="28" t="s">
        <v>1125</v>
      </c>
      <c r="L123" s="26" t="s">
        <v>1126</v>
      </c>
      <c r="M123" s="26"/>
    </row>
    <row r="124" spans="1:13" x14ac:dyDescent="0.3">
      <c r="A124" s="25">
        <v>46092</v>
      </c>
      <c r="B124" s="27">
        <v>98555.03</v>
      </c>
      <c r="C124" s="26"/>
      <c r="D124" s="26" t="s">
        <v>273</v>
      </c>
      <c r="E124" s="25">
        <v>46092</v>
      </c>
      <c r="F124" s="26"/>
      <c r="G124" s="27">
        <v>98555.03</v>
      </c>
      <c r="H124" s="26" t="s">
        <v>773</v>
      </c>
      <c r="I124" s="27">
        <v>0</v>
      </c>
      <c r="J124" s="26">
        <v>0</v>
      </c>
      <c r="K124" s="28" t="s">
        <v>1125</v>
      </c>
      <c r="L124" s="26" t="s">
        <v>1126</v>
      </c>
      <c r="M124" s="26"/>
    </row>
    <row r="125" spans="1:13" x14ac:dyDescent="0.3">
      <c r="A125" s="25">
        <v>46092</v>
      </c>
      <c r="B125" s="26"/>
      <c r="C125" s="27">
        <v>123679.1</v>
      </c>
      <c r="D125" s="26" t="s">
        <v>274</v>
      </c>
      <c r="E125" s="25">
        <v>46092</v>
      </c>
      <c r="F125" s="27">
        <v>123679.1</v>
      </c>
      <c r="G125" s="26"/>
      <c r="H125" s="26" t="s">
        <v>799</v>
      </c>
      <c r="I125" s="27">
        <v>0</v>
      </c>
      <c r="J125" s="26">
        <v>0</v>
      </c>
      <c r="K125" s="28" t="s">
        <v>1125</v>
      </c>
      <c r="L125" s="26" t="s">
        <v>1126</v>
      </c>
      <c r="M125" s="26"/>
    </row>
    <row r="126" spans="1:13" x14ac:dyDescent="0.3">
      <c r="A126" s="25">
        <v>46092</v>
      </c>
      <c r="B126" s="26"/>
      <c r="C126" s="27">
        <v>696513.49</v>
      </c>
      <c r="D126" s="26" t="s">
        <v>275</v>
      </c>
      <c r="E126" s="25">
        <v>46092</v>
      </c>
      <c r="F126" s="27">
        <v>696513.49</v>
      </c>
      <c r="G126" s="26"/>
      <c r="H126" s="26" t="s">
        <v>774</v>
      </c>
      <c r="I126" s="27">
        <v>0</v>
      </c>
      <c r="J126" s="26">
        <v>0</v>
      </c>
      <c r="K126" s="28" t="s">
        <v>1125</v>
      </c>
      <c r="L126" s="26" t="s">
        <v>1126</v>
      </c>
      <c r="M126" s="26"/>
    </row>
    <row r="127" spans="1:13" x14ac:dyDescent="0.3">
      <c r="A127" s="25">
        <v>46092</v>
      </c>
      <c r="B127" s="26"/>
      <c r="C127" s="27">
        <v>4113.12</v>
      </c>
      <c r="D127" s="26" t="s">
        <v>276</v>
      </c>
      <c r="E127" s="25">
        <v>46092</v>
      </c>
      <c r="F127" s="27">
        <v>4113.12</v>
      </c>
      <c r="G127" s="26"/>
      <c r="H127" s="26" t="s">
        <v>776</v>
      </c>
      <c r="I127" s="27">
        <v>0</v>
      </c>
      <c r="J127" s="26">
        <v>0</v>
      </c>
      <c r="K127" s="28" t="s">
        <v>1125</v>
      </c>
      <c r="L127" s="26" t="s">
        <v>1126</v>
      </c>
      <c r="M127" s="26"/>
    </row>
    <row r="128" spans="1:13" x14ac:dyDescent="0.3">
      <c r="A128" s="25">
        <v>46092</v>
      </c>
      <c r="B128" s="26"/>
      <c r="C128" s="27">
        <v>321928.5</v>
      </c>
      <c r="D128" s="26" t="s">
        <v>277</v>
      </c>
      <c r="E128" s="25">
        <v>46092</v>
      </c>
      <c r="F128" s="27">
        <v>321928.5</v>
      </c>
      <c r="G128" s="26"/>
      <c r="H128" s="26" t="s">
        <v>778</v>
      </c>
      <c r="I128" s="27">
        <v>0</v>
      </c>
      <c r="J128" s="26">
        <v>0</v>
      </c>
      <c r="K128" s="28" t="s">
        <v>1125</v>
      </c>
      <c r="L128" s="26" t="s">
        <v>1126</v>
      </c>
      <c r="M128" s="26"/>
    </row>
    <row r="129" spans="1:13" x14ac:dyDescent="0.3">
      <c r="A129" s="25">
        <v>46092</v>
      </c>
      <c r="B129" s="26"/>
      <c r="C129" s="27">
        <v>1161787.7</v>
      </c>
      <c r="D129" s="26" t="s">
        <v>278</v>
      </c>
      <c r="E129" s="25">
        <v>46092</v>
      </c>
      <c r="F129" s="27">
        <v>1161787.7</v>
      </c>
      <c r="G129" s="26"/>
      <c r="H129" s="26" t="s">
        <v>788</v>
      </c>
      <c r="I129" s="27">
        <v>0</v>
      </c>
      <c r="J129" s="26">
        <v>0</v>
      </c>
      <c r="K129" s="28" t="s">
        <v>1125</v>
      </c>
      <c r="L129" s="26" t="s">
        <v>1126</v>
      </c>
      <c r="M129" s="26"/>
    </row>
    <row r="130" spans="1:13" x14ac:dyDescent="0.3">
      <c r="A130" s="25">
        <v>46092</v>
      </c>
      <c r="B130" s="26"/>
      <c r="C130" s="27">
        <v>10485.64</v>
      </c>
      <c r="D130" s="26" t="s">
        <v>279</v>
      </c>
      <c r="E130" s="25">
        <v>46092</v>
      </c>
      <c r="F130" s="27">
        <v>10485.64</v>
      </c>
      <c r="G130" s="26"/>
      <c r="H130" s="26" t="s">
        <v>799</v>
      </c>
      <c r="I130" s="27">
        <v>0</v>
      </c>
      <c r="J130" s="26">
        <v>0</v>
      </c>
      <c r="K130" s="28" t="s">
        <v>1125</v>
      </c>
      <c r="L130" s="26" t="s">
        <v>1126</v>
      </c>
      <c r="M130" s="26"/>
    </row>
    <row r="131" spans="1:13" x14ac:dyDescent="0.3">
      <c r="A131" s="25">
        <v>46092</v>
      </c>
      <c r="B131" s="26"/>
      <c r="C131" s="27">
        <v>14175.15</v>
      </c>
      <c r="D131" s="26" t="s">
        <v>280</v>
      </c>
      <c r="E131" s="25">
        <v>46092</v>
      </c>
      <c r="F131" s="27">
        <v>14175.15</v>
      </c>
      <c r="G131" s="26"/>
      <c r="H131" s="26" t="s">
        <v>790</v>
      </c>
      <c r="I131" s="27">
        <v>0</v>
      </c>
      <c r="J131" s="26">
        <v>0</v>
      </c>
      <c r="K131" s="28" t="s">
        <v>1125</v>
      </c>
      <c r="L131" s="26" t="s">
        <v>1126</v>
      </c>
      <c r="M131" s="26"/>
    </row>
    <row r="132" spans="1:13" x14ac:dyDescent="0.3">
      <c r="A132" s="25">
        <v>46092</v>
      </c>
      <c r="B132" s="26"/>
      <c r="C132" s="27">
        <v>577419.27</v>
      </c>
      <c r="D132" s="26" t="s">
        <v>281</v>
      </c>
      <c r="E132" s="25">
        <v>46092</v>
      </c>
      <c r="F132" s="27">
        <v>577419.27</v>
      </c>
      <c r="G132" s="26"/>
      <c r="H132" s="26" t="s">
        <v>792</v>
      </c>
      <c r="I132" s="27">
        <v>0</v>
      </c>
      <c r="J132" s="26">
        <v>0</v>
      </c>
      <c r="K132" s="28" t="s">
        <v>1125</v>
      </c>
      <c r="L132" s="26" t="s">
        <v>1126</v>
      </c>
      <c r="M132" s="26"/>
    </row>
    <row r="133" spans="1:13" x14ac:dyDescent="0.3">
      <c r="A133" s="25">
        <v>46092</v>
      </c>
      <c r="B133" s="26"/>
      <c r="C133" s="27">
        <v>978202.4</v>
      </c>
      <c r="D133" s="26" t="s">
        <v>282</v>
      </c>
      <c r="E133" s="25">
        <v>46092</v>
      </c>
      <c r="F133" s="27">
        <v>978202.4</v>
      </c>
      <c r="G133" s="26"/>
      <c r="H133" s="26" t="s">
        <v>794</v>
      </c>
      <c r="I133" s="27">
        <v>0</v>
      </c>
      <c r="J133" s="26">
        <v>0</v>
      </c>
      <c r="K133" s="28" t="s">
        <v>1125</v>
      </c>
      <c r="L133" s="26" t="s">
        <v>1126</v>
      </c>
      <c r="M133" s="26"/>
    </row>
    <row r="134" spans="1:13" x14ac:dyDescent="0.3">
      <c r="A134" s="25">
        <v>46092</v>
      </c>
      <c r="B134" s="26"/>
      <c r="C134" s="27">
        <v>565773.06999999995</v>
      </c>
      <c r="D134" s="26" t="s">
        <v>283</v>
      </c>
      <c r="E134" s="25">
        <v>46092</v>
      </c>
      <c r="F134" s="27">
        <v>565773.06999999995</v>
      </c>
      <c r="G134" s="26"/>
      <c r="H134" s="26" t="s">
        <v>797</v>
      </c>
      <c r="I134" s="27">
        <v>0</v>
      </c>
      <c r="J134" s="26">
        <v>0</v>
      </c>
      <c r="K134" s="28" t="s">
        <v>1125</v>
      </c>
      <c r="L134" s="26" t="s">
        <v>1126</v>
      </c>
      <c r="M134" s="26"/>
    </row>
    <row r="135" spans="1:13" x14ac:dyDescent="0.3">
      <c r="A135" s="25">
        <v>46092</v>
      </c>
      <c r="B135" s="27">
        <v>4500000</v>
      </c>
      <c r="C135" s="26"/>
      <c r="D135" s="26" t="s">
        <v>284</v>
      </c>
      <c r="E135" s="25">
        <v>46092</v>
      </c>
      <c r="F135" s="26"/>
      <c r="G135" s="27">
        <v>4500000</v>
      </c>
      <c r="H135" s="26" t="s">
        <v>796</v>
      </c>
      <c r="I135" s="27">
        <v>0</v>
      </c>
      <c r="J135" s="26">
        <v>0</v>
      </c>
      <c r="K135" s="28" t="s">
        <v>1125</v>
      </c>
      <c r="L135" s="26" t="s">
        <v>1126</v>
      </c>
      <c r="M135" s="26"/>
    </row>
    <row r="136" spans="1:13" x14ac:dyDescent="0.3">
      <c r="A136" s="25">
        <v>46093</v>
      </c>
      <c r="B136" s="26"/>
      <c r="C136" s="27">
        <v>163586.94</v>
      </c>
      <c r="D136" s="26" t="s">
        <v>287</v>
      </c>
      <c r="E136" s="25">
        <v>46093</v>
      </c>
      <c r="F136" s="27">
        <v>163586.94</v>
      </c>
      <c r="G136" s="26"/>
      <c r="H136" s="26" t="s">
        <v>832</v>
      </c>
      <c r="I136" s="27">
        <v>0</v>
      </c>
      <c r="J136" s="26">
        <v>0</v>
      </c>
      <c r="K136" s="28" t="s">
        <v>1125</v>
      </c>
      <c r="L136" s="26" t="s">
        <v>1126</v>
      </c>
      <c r="M136" s="26"/>
    </row>
    <row r="137" spans="1:13" x14ac:dyDescent="0.3">
      <c r="A137" s="25">
        <v>46093</v>
      </c>
      <c r="B137" s="26"/>
      <c r="C137" s="27">
        <v>719644.91</v>
      </c>
      <c r="D137" s="26" t="s">
        <v>288</v>
      </c>
      <c r="E137" s="25">
        <v>46093</v>
      </c>
      <c r="F137" s="27">
        <v>719644.91</v>
      </c>
      <c r="G137" s="26"/>
      <c r="H137" s="26" t="s">
        <v>832</v>
      </c>
      <c r="I137" s="27">
        <v>0</v>
      </c>
      <c r="J137" s="26">
        <v>0</v>
      </c>
      <c r="K137" s="28" t="s">
        <v>1125</v>
      </c>
      <c r="L137" s="26" t="s">
        <v>1126</v>
      </c>
      <c r="M137" s="26"/>
    </row>
    <row r="138" spans="1:13" x14ac:dyDescent="0.3">
      <c r="A138" s="25">
        <v>46093</v>
      </c>
      <c r="B138" s="26"/>
      <c r="C138" s="27">
        <v>2096323.89</v>
      </c>
      <c r="D138" s="26" t="s">
        <v>289</v>
      </c>
      <c r="E138" s="25">
        <v>46093</v>
      </c>
      <c r="F138" s="27">
        <v>2096323.89</v>
      </c>
      <c r="G138" s="26"/>
      <c r="H138" s="26" t="s">
        <v>809</v>
      </c>
      <c r="I138" s="27">
        <v>0</v>
      </c>
      <c r="J138" s="26">
        <v>0</v>
      </c>
      <c r="K138" s="28" t="s">
        <v>1125</v>
      </c>
      <c r="L138" s="26" t="s">
        <v>1126</v>
      </c>
      <c r="M138" s="26"/>
    </row>
    <row r="139" spans="1:13" x14ac:dyDescent="0.3">
      <c r="A139" s="25">
        <v>46093</v>
      </c>
      <c r="B139" s="26"/>
      <c r="C139" s="27">
        <v>1000000</v>
      </c>
      <c r="D139" s="26" t="s">
        <v>290</v>
      </c>
      <c r="E139" s="25">
        <v>46093</v>
      </c>
      <c r="F139" s="27">
        <v>1000000</v>
      </c>
      <c r="G139" s="26"/>
      <c r="H139" s="26" t="s">
        <v>808</v>
      </c>
      <c r="I139" s="27">
        <v>0</v>
      </c>
      <c r="J139" s="26">
        <v>0</v>
      </c>
      <c r="K139" s="28" t="s">
        <v>1125</v>
      </c>
      <c r="L139" s="26" t="s">
        <v>1126</v>
      </c>
      <c r="M139" s="26"/>
    </row>
    <row r="140" spans="1:13" x14ac:dyDescent="0.3">
      <c r="A140" s="25">
        <v>46093</v>
      </c>
      <c r="B140" s="26"/>
      <c r="C140" s="27">
        <v>225324.19</v>
      </c>
      <c r="D140" s="26" t="s">
        <v>291</v>
      </c>
      <c r="E140" s="25">
        <v>46093</v>
      </c>
      <c r="F140" s="27">
        <v>225324.19</v>
      </c>
      <c r="G140" s="26"/>
      <c r="H140" s="26" t="s">
        <v>811</v>
      </c>
      <c r="I140" s="27">
        <v>0</v>
      </c>
      <c r="J140" s="26">
        <v>0</v>
      </c>
      <c r="K140" s="28" t="s">
        <v>1125</v>
      </c>
      <c r="L140" s="26" t="s">
        <v>1126</v>
      </c>
      <c r="M140" s="26"/>
    </row>
    <row r="141" spans="1:13" x14ac:dyDescent="0.3">
      <c r="A141" s="25">
        <v>46093</v>
      </c>
      <c r="B141" s="27">
        <v>500000</v>
      </c>
      <c r="C141" s="26"/>
      <c r="D141" s="26" t="s">
        <v>292</v>
      </c>
      <c r="E141" s="25">
        <v>46093</v>
      </c>
      <c r="F141" s="26"/>
      <c r="G141" s="27">
        <v>500000</v>
      </c>
      <c r="H141" s="26" t="s">
        <v>807</v>
      </c>
      <c r="I141" s="27">
        <v>0</v>
      </c>
      <c r="J141" s="26">
        <v>0</v>
      </c>
      <c r="K141" s="28" t="s">
        <v>1125</v>
      </c>
      <c r="L141" s="26" t="s">
        <v>1126</v>
      </c>
      <c r="M141" s="26"/>
    </row>
    <row r="142" spans="1:13" x14ac:dyDescent="0.3">
      <c r="A142" s="25">
        <v>46093</v>
      </c>
      <c r="B142" s="27">
        <v>210267.75</v>
      </c>
      <c r="C142" s="26"/>
      <c r="D142" s="26" t="s">
        <v>293</v>
      </c>
      <c r="E142" s="25">
        <v>46093</v>
      </c>
      <c r="F142" s="26"/>
      <c r="G142" s="27">
        <v>210267.75</v>
      </c>
      <c r="H142" s="26" t="s">
        <v>801</v>
      </c>
      <c r="I142" s="27">
        <v>0</v>
      </c>
      <c r="J142" s="26">
        <v>0</v>
      </c>
      <c r="K142" s="28" t="s">
        <v>1125</v>
      </c>
      <c r="L142" s="26" t="s">
        <v>1126</v>
      </c>
      <c r="M142" s="26"/>
    </row>
    <row r="143" spans="1:13" x14ac:dyDescent="0.3">
      <c r="A143" s="25">
        <v>46093</v>
      </c>
      <c r="B143" s="27">
        <v>49965.71</v>
      </c>
      <c r="C143" s="26"/>
      <c r="D143" s="26" t="s">
        <v>294</v>
      </c>
      <c r="E143" s="25">
        <v>46093</v>
      </c>
      <c r="F143" s="26"/>
      <c r="G143" s="27">
        <v>49965.71</v>
      </c>
      <c r="H143" s="26" t="s">
        <v>802</v>
      </c>
      <c r="I143" s="27">
        <v>0</v>
      </c>
      <c r="J143" s="26">
        <v>0</v>
      </c>
      <c r="K143" s="28" t="s">
        <v>1125</v>
      </c>
      <c r="L143" s="26" t="s">
        <v>1126</v>
      </c>
      <c r="M143" s="26"/>
    </row>
    <row r="144" spans="1:13" x14ac:dyDescent="0.3">
      <c r="A144" s="25">
        <v>46093</v>
      </c>
      <c r="B144" s="27">
        <v>902000</v>
      </c>
      <c r="C144" s="26"/>
      <c r="D144" s="26" t="s">
        <v>295</v>
      </c>
      <c r="E144" s="25">
        <v>46093</v>
      </c>
      <c r="F144" s="26"/>
      <c r="G144" s="27">
        <v>902000</v>
      </c>
      <c r="H144" s="26" t="s">
        <v>800</v>
      </c>
      <c r="I144" s="27">
        <v>0</v>
      </c>
      <c r="J144" s="26">
        <v>0</v>
      </c>
      <c r="K144" s="28" t="s">
        <v>1125</v>
      </c>
      <c r="L144" s="26" t="s">
        <v>1126</v>
      </c>
      <c r="M144" s="26"/>
    </row>
    <row r="145" spans="1:13" x14ac:dyDescent="0.3">
      <c r="A145" s="25">
        <v>46093</v>
      </c>
      <c r="B145" s="27">
        <v>487018.92</v>
      </c>
      <c r="C145" s="26"/>
      <c r="D145" s="26" t="s">
        <v>296</v>
      </c>
      <c r="E145" s="25">
        <v>46093</v>
      </c>
      <c r="F145" s="26"/>
      <c r="G145" s="27">
        <v>487018.92</v>
      </c>
      <c r="H145" s="26" t="s">
        <v>806</v>
      </c>
      <c r="I145" s="27">
        <v>0</v>
      </c>
      <c r="J145" s="26">
        <v>0</v>
      </c>
      <c r="K145" s="28" t="s">
        <v>1125</v>
      </c>
      <c r="L145" s="26" t="s">
        <v>1126</v>
      </c>
      <c r="M145" s="26"/>
    </row>
    <row r="146" spans="1:13" x14ac:dyDescent="0.3">
      <c r="A146" s="25">
        <v>46093</v>
      </c>
      <c r="B146" s="27">
        <v>623535.93000000005</v>
      </c>
      <c r="C146" s="26"/>
      <c r="D146" s="26" t="s">
        <v>297</v>
      </c>
      <c r="E146" s="25">
        <v>46093</v>
      </c>
      <c r="F146" s="26"/>
      <c r="G146" s="27">
        <v>623535.93000000005</v>
      </c>
      <c r="H146" s="26" t="s">
        <v>804</v>
      </c>
      <c r="I146" s="27">
        <v>0</v>
      </c>
      <c r="J146" s="26">
        <v>0</v>
      </c>
      <c r="K146" s="28" t="s">
        <v>1125</v>
      </c>
      <c r="L146" s="26" t="s">
        <v>1126</v>
      </c>
      <c r="M146" s="26"/>
    </row>
    <row r="147" spans="1:13" x14ac:dyDescent="0.3">
      <c r="A147" s="25">
        <v>46093</v>
      </c>
      <c r="B147" s="27">
        <v>490959.39</v>
      </c>
      <c r="C147" s="26"/>
      <c r="D147" s="26" t="s">
        <v>298</v>
      </c>
      <c r="E147" s="25">
        <v>46093</v>
      </c>
      <c r="F147" s="26"/>
      <c r="G147" s="27">
        <v>490959.39</v>
      </c>
      <c r="H147" s="26" t="s">
        <v>805</v>
      </c>
      <c r="I147" s="27">
        <v>0</v>
      </c>
      <c r="J147" s="26">
        <v>0</v>
      </c>
      <c r="K147" s="28" t="s">
        <v>1125</v>
      </c>
      <c r="L147" s="26" t="s">
        <v>1126</v>
      </c>
      <c r="M147" s="26"/>
    </row>
    <row r="148" spans="1:13" x14ac:dyDescent="0.3">
      <c r="A148" s="25">
        <v>46093</v>
      </c>
      <c r="B148" s="27">
        <v>1436365.77</v>
      </c>
      <c r="C148" s="26"/>
      <c r="D148" s="26" t="s">
        <v>299</v>
      </c>
      <c r="E148" s="25">
        <v>46093</v>
      </c>
      <c r="F148" s="26"/>
      <c r="G148" s="27">
        <v>1436365.77</v>
      </c>
      <c r="H148" s="26" t="s">
        <v>803</v>
      </c>
      <c r="I148" s="27">
        <v>0</v>
      </c>
      <c r="J148" s="26">
        <v>0</v>
      </c>
      <c r="K148" s="28" t="s">
        <v>1125</v>
      </c>
      <c r="L148" s="26" t="s">
        <v>1126</v>
      </c>
      <c r="M148" s="26"/>
    </row>
    <row r="149" spans="1:13" x14ac:dyDescent="0.3">
      <c r="A149" s="25">
        <v>46093</v>
      </c>
      <c r="B149" s="26"/>
      <c r="C149" s="27">
        <v>186936.66</v>
      </c>
      <c r="D149" s="26" t="s">
        <v>300</v>
      </c>
      <c r="E149" s="25">
        <v>46093</v>
      </c>
      <c r="F149" s="27">
        <v>186936.66</v>
      </c>
      <c r="G149" s="26"/>
      <c r="H149" s="26" t="s">
        <v>813</v>
      </c>
      <c r="I149" s="27">
        <v>0</v>
      </c>
      <c r="J149" s="26">
        <v>0</v>
      </c>
      <c r="K149" s="28" t="s">
        <v>1125</v>
      </c>
      <c r="L149" s="26" t="s">
        <v>1126</v>
      </c>
      <c r="M149" s="26"/>
    </row>
    <row r="150" spans="1:13" x14ac:dyDescent="0.3">
      <c r="A150" s="25">
        <v>46093</v>
      </c>
      <c r="B150" s="26"/>
      <c r="C150" s="27">
        <v>10786.55</v>
      </c>
      <c r="D150" s="26" t="s">
        <v>301</v>
      </c>
      <c r="E150" s="25">
        <v>46093</v>
      </c>
      <c r="F150" s="27">
        <v>10786.55</v>
      </c>
      <c r="G150" s="26"/>
      <c r="H150" s="26" t="s">
        <v>815</v>
      </c>
      <c r="I150" s="27">
        <v>0</v>
      </c>
      <c r="J150" s="26">
        <v>0</v>
      </c>
      <c r="K150" s="28" t="s">
        <v>1125</v>
      </c>
      <c r="L150" s="26" t="s">
        <v>1126</v>
      </c>
      <c r="M150" s="26"/>
    </row>
    <row r="151" spans="1:13" x14ac:dyDescent="0.3">
      <c r="A151" s="25">
        <v>46093</v>
      </c>
      <c r="B151" s="26"/>
      <c r="C151" s="27">
        <v>3034757.92</v>
      </c>
      <c r="D151" s="26" t="s">
        <v>302</v>
      </c>
      <c r="E151" s="25">
        <v>46093</v>
      </c>
      <c r="F151" s="27">
        <v>3034757.92</v>
      </c>
      <c r="G151" s="26"/>
      <c r="H151" s="26" t="s">
        <v>817</v>
      </c>
      <c r="I151" s="27">
        <v>0</v>
      </c>
      <c r="J151" s="26">
        <v>0</v>
      </c>
      <c r="K151" s="28" t="s">
        <v>1125</v>
      </c>
      <c r="L151" s="26" t="s">
        <v>1126</v>
      </c>
      <c r="M151" s="26"/>
    </row>
    <row r="152" spans="1:13" x14ac:dyDescent="0.3">
      <c r="A152" s="25">
        <v>46093</v>
      </c>
      <c r="B152" s="26"/>
      <c r="C152" s="27">
        <v>1269139.2</v>
      </c>
      <c r="D152" s="26" t="s">
        <v>303</v>
      </c>
      <c r="E152" s="25">
        <v>46093</v>
      </c>
      <c r="F152" s="27">
        <v>1269139.2</v>
      </c>
      <c r="G152" s="26"/>
      <c r="H152" s="26" t="s">
        <v>819</v>
      </c>
      <c r="I152" s="27">
        <v>0</v>
      </c>
      <c r="J152" s="26">
        <v>0</v>
      </c>
      <c r="K152" s="28" t="s">
        <v>1125</v>
      </c>
      <c r="L152" s="26" t="s">
        <v>1126</v>
      </c>
      <c r="M152" s="26"/>
    </row>
    <row r="153" spans="1:13" x14ac:dyDescent="0.3">
      <c r="A153" s="25">
        <v>46093</v>
      </c>
      <c r="B153" s="26"/>
      <c r="C153" s="27">
        <v>998082.4</v>
      </c>
      <c r="D153" s="26" t="s">
        <v>304</v>
      </c>
      <c r="E153" s="25">
        <v>46093</v>
      </c>
      <c r="F153" s="27">
        <v>998082.4</v>
      </c>
      <c r="G153" s="26"/>
      <c r="H153" s="26" t="s">
        <v>821</v>
      </c>
      <c r="I153" s="27">
        <v>0</v>
      </c>
      <c r="J153" s="26">
        <v>0</v>
      </c>
      <c r="K153" s="28" t="s">
        <v>1125</v>
      </c>
      <c r="L153" s="26" t="s">
        <v>1126</v>
      </c>
      <c r="M153" s="26"/>
    </row>
    <row r="154" spans="1:13" x14ac:dyDescent="0.3">
      <c r="A154" s="25">
        <v>46093</v>
      </c>
      <c r="B154" s="26"/>
      <c r="C154" s="27">
        <v>1744696.39</v>
      </c>
      <c r="D154" s="26" t="s">
        <v>305</v>
      </c>
      <c r="E154" s="25">
        <v>46093</v>
      </c>
      <c r="F154" s="27">
        <v>1744696.39</v>
      </c>
      <c r="G154" s="26"/>
      <c r="H154" s="26" t="s">
        <v>823</v>
      </c>
      <c r="I154" s="27">
        <v>0</v>
      </c>
      <c r="J154" s="26">
        <v>0</v>
      </c>
      <c r="K154" s="28" t="s">
        <v>1125</v>
      </c>
      <c r="L154" s="26" t="s">
        <v>1126</v>
      </c>
      <c r="M154" s="26"/>
    </row>
    <row r="155" spans="1:13" x14ac:dyDescent="0.3">
      <c r="A155" s="25">
        <v>46093</v>
      </c>
      <c r="B155" s="26"/>
      <c r="C155" s="27">
        <v>764504.94</v>
      </c>
      <c r="D155" s="26" t="s">
        <v>306</v>
      </c>
      <c r="E155" s="25">
        <v>46093</v>
      </c>
      <c r="F155" s="27">
        <v>764504.94</v>
      </c>
      <c r="G155" s="26"/>
      <c r="H155" s="26" t="s">
        <v>825</v>
      </c>
      <c r="I155" s="27">
        <v>0</v>
      </c>
      <c r="J155" s="26">
        <v>0</v>
      </c>
      <c r="K155" s="28" t="s">
        <v>1125</v>
      </c>
      <c r="L155" s="26" t="s">
        <v>1126</v>
      </c>
      <c r="M155" s="26"/>
    </row>
    <row r="156" spans="1:13" x14ac:dyDescent="0.3">
      <c r="A156" s="25">
        <v>46093</v>
      </c>
      <c r="B156" s="26"/>
      <c r="C156" s="27">
        <v>3419538.53</v>
      </c>
      <c r="D156" s="26" t="s">
        <v>307</v>
      </c>
      <c r="E156" s="25">
        <v>46093</v>
      </c>
      <c r="F156" s="27">
        <v>3419538.53</v>
      </c>
      <c r="G156" s="26"/>
      <c r="H156" s="26" t="s">
        <v>828</v>
      </c>
      <c r="I156" s="27">
        <v>0</v>
      </c>
      <c r="J156" s="26">
        <v>0</v>
      </c>
      <c r="K156" s="28" t="s">
        <v>1125</v>
      </c>
      <c r="L156" s="26" t="s">
        <v>1126</v>
      </c>
      <c r="M156" s="26"/>
    </row>
    <row r="157" spans="1:13" x14ac:dyDescent="0.3">
      <c r="A157" s="25">
        <v>46093</v>
      </c>
      <c r="B157" s="27">
        <v>11000000</v>
      </c>
      <c r="C157" s="26"/>
      <c r="D157" s="26" t="s">
        <v>308</v>
      </c>
      <c r="E157" s="25">
        <v>46093</v>
      </c>
      <c r="F157" s="26"/>
      <c r="G157" s="27">
        <v>11000000</v>
      </c>
      <c r="H157" s="26" t="s">
        <v>827</v>
      </c>
      <c r="I157" s="27">
        <v>0</v>
      </c>
      <c r="J157" s="26">
        <v>0</v>
      </c>
      <c r="K157" s="28" t="s">
        <v>1125</v>
      </c>
      <c r="L157" s="26" t="s">
        <v>1126</v>
      </c>
      <c r="M157" s="26"/>
    </row>
    <row r="158" spans="1:13" x14ac:dyDescent="0.3">
      <c r="A158" s="25">
        <v>46093</v>
      </c>
      <c r="B158" s="26"/>
      <c r="C158" s="27">
        <v>276038.2</v>
      </c>
      <c r="D158" s="26" t="s">
        <v>309</v>
      </c>
      <c r="E158" s="25">
        <v>46093</v>
      </c>
      <c r="F158" s="27">
        <v>276038.2</v>
      </c>
      <c r="G158" s="26"/>
      <c r="H158" s="26" t="s">
        <v>830</v>
      </c>
      <c r="I158" s="27">
        <v>0</v>
      </c>
      <c r="J158" s="26">
        <v>0</v>
      </c>
      <c r="K158" s="28" t="s">
        <v>1125</v>
      </c>
      <c r="L158" s="26" t="s">
        <v>1126</v>
      </c>
      <c r="M158" s="26"/>
    </row>
    <row r="159" spans="1:13" x14ac:dyDescent="0.3">
      <c r="A159" s="25">
        <v>46093</v>
      </c>
      <c r="B159" s="26"/>
      <c r="C159" s="27">
        <v>3189352.5</v>
      </c>
      <c r="D159" s="26" t="s">
        <v>64</v>
      </c>
      <c r="E159" s="25">
        <v>46093</v>
      </c>
      <c r="F159" s="27">
        <v>3189352.5</v>
      </c>
      <c r="G159" s="26"/>
      <c r="H159" s="26" t="s">
        <v>833</v>
      </c>
      <c r="I159" s="27">
        <v>0</v>
      </c>
      <c r="J159" s="26">
        <v>0</v>
      </c>
      <c r="K159" s="28" t="s">
        <v>1125</v>
      </c>
      <c r="L159" s="26" t="s">
        <v>1126</v>
      </c>
      <c r="M159" s="26"/>
    </row>
    <row r="160" spans="1:13" x14ac:dyDescent="0.3">
      <c r="A160" s="25">
        <v>46094</v>
      </c>
      <c r="B160" s="26"/>
      <c r="C160" s="27">
        <v>16740.099999999999</v>
      </c>
      <c r="D160" s="26" t="s">
        <v>324</v>
      </c>
      <c r="E160" s="25">
        <v>46094</v>
      </c>
      <c r="F160" s="27">
        <v>16740.099999999999</v>
      </c>
      <c r="G160" s="26"/>
      <c r="H160" s="26" t="s">
        <v>859</v>
      </c>
      <c r="I160" s="27">
        <v>0</v>
      </c>
      <c r="J160" s="26">
        <v>0</v>
      </c>
      <c r="K160" s="28" t="s">
        <v>1125</v>
      </c>
      <c r="L160" s="26" t="s">
        <v>1126</v>
      </c>
      <c r="M160" s="26"/>
    </row>
    <row r="161" spans="1:13" x14ac:dyDescent="0.3">
      <c r="A161" s="25">
        <v>46094</v>
      </c>
      <c r="B161" s="26"/>
      <c r="C161" s="27">
        <v>17194.12</v>
      </c>
      <c r="D161" s="26" t="s">
        <v>325</v>
      </c>
      <c r="E161" s="25">
        <v>46094</v>
      </c>
      <c r="F161" s="27">
        <v>17194.12</v>
      </c>
      <c r="G161" s="26"/>
      <c r="H161" s="26" t="s">
        <v>835</v>
      </c>
      <c r="I161" s="27">
        <v>0</v>
      </c>
      <c r="J161" s="26">
        <v>0</v>
      </c>
      <c r="K161" s="28" t="s">
        <v>1125</v>
      </c>
      <c r="L161" s="26" t="s">
        <v>1126</v>
      </c>
      <c r="M161" s="26"/>
    </row>
    <row r="162" spans="1:13" x14ac:dyDescent="0.3">
      <c r="A162" s="25">
        <v>46094</v>
      </c>
      <c r="B162" s="26"/>
      <c r="C162" s="27">
        <v>144791.23000000001</v>
      </c>
      <c r="D162" s="26" t="s">
        <v>326</v>
      </c>
      <c r="E162" s="25">
        <v>46094</v>
      </c>
      <c r="F162" s="27">
        <v>144791.23000000001</v>
      </c>
      <c r="G162" s="26"/>
      <c r="H162" s="26" t="s">
        <v>859</v>
      </c>
      <c r="I162" s="27">
        <v>0</v>
      </c>
      <c r="J162" s="26">
        <v>0</v>
      </c>
      <c r="K162" s="28" t="s">
        <v>1125</v>
      </c>
      <c r="L162" s="26" t="s">
        <v>1126</v>
      </c>
      <c r="M162" s="26"/>
    </row>
    <row r="163" spans="1:13" x14ac:dyDescent="0.3">
      <c r="A163" s="25">
        <v>46094</v>
      </c>
      <c r="B163" s="26"/>
      <c r="C163" s="27">
        <v>72926.7</v>
      </c>
      <c r="D163" s="26" t="s">
        <v>327</v>
      </c>
      <c r="E163" s="25">
        <v>46094</v>
      </c>
      <c r="F163" s="27">
        <v>72926.7</v>
      </c>
      <c r="G163" s="26"/>
      <c r="H163" s="26" t="s">
        <v>842</v>
      </c>
      <c r="I163" s="27">
        <v>0</v>
      </c>
      <c r="J163" s="26">
        <v>0</v>
      </c>
      <c r="K163" s="28" t="s">
        <v>1125</v>
      </c>
      <c r="L163" s="26" t="s">
        <v>1126</v>
      </c>
      <c r="M163" s="26"/>
    </row>
    <row r="164" spans="1:13" x14ac:dyDescent="0.3">
      <c r="A164" s="25">
        <v>46094</v>
      </c>
      <c r="B164" s="26"/>
      <c r="C164" s="27">
        <v>15441</v>
      </c>
      <c r="D164" s="26" t="s">
        <v>328</v>
      </c>
      <c r="E164" s="25">
        <v>46094</v>
      </c>
      <c r="F164" s="27">
        <v>15441</v>
      </c>
      <c r="G164" s="26"/>
      <c r="H164" s="26" t="s">
        <v>844</v>
      </c>
      <c r="I164" s="27">
        <v>0</v>
      </c>
      <c r="J164" s="26">
        <v>0</v>
      </c>
      <c r="K164" s="28" t="s">
        <v>1125</v>
      </c>
      <c r="L164" s="26" t="s">
        <v>1126</v>
      </c>
      <c r="M164" s="26"/>
    </row>
    <row r="165" spans="1:13" x14ac:dyDescent="0.3">
      <c r="A165" s="25">
        <v>46094</v>
      </c>
      <c r="B165" s="26"/>
      <c r="C165" s="27">
        <v>1592299.5</v>
      </c>
      <c r="D165" s="26" t="s">
        <v>329</v>
      </c>
      <c r="E165" s="25">
        <v>46094</v>
      </c>
      <c r="F165" s="27">
        <v>1592299.5</v>
      </c>
      <c r="G165" s="26"/>
      <c r="H165" s="26" t="s">
        <v>845</v>
      </c>
      <c r="I165" s="27">
        <v>0</v>
      </c>
      <c r="J165" s="26">
        <v>0</v>
      </c>
      <c r="K165" s="28" t="s">
        <v>1125</v>
      </c>
      <c r="L165" s="26" t="s">
        <v>1126</v>
      </c>
      <c r="M165" s="26"/>
    </row>
    <row r="166" spans="1:13" x14ac:dyDescent="0.3">
      <c r="A166" s="25">
        <v>46094</v>
      </c>
      <c r="B166" s="26"/>
      <c r="C166" s="27">
        <v>463200</v>
      </c>
      <c r="D166" s="26" t="s">
        <v>330</v>
      </c>
      <c r="E166" s="25">
        <v>46094</v>
      </c>
      <c r="F166" s="27">
        <v>463200</v>
      </c>
      <c r="G166" s="26"/>
      <c r="H166" s="26" t="s">
        <v>847</v>
      </c>
      <c r="I166" s="27">
        <v>0</v>
      </c>
      <c r="J166" s="26">
        <v>0</v>
      </c>
      <c r="K166" s="28" t="s">
        <v>1125</v>
      </c>
      <c r="L166" s="26" t="s">
        <v>1126</v>
      </c>
      <c r="M166" s="26"/>
    </row>
    <row r="167" spans="1:13" x14ac:dyDescent="0.3">
      <c r="A167" s="25">
        <v>46094</v>
      </c>
      <c r="B167" s="26"/>
      <c r="C167" s="27">
        <v>685989.93</v>
      </c>
      <c r="D167" s="26" t="s">
        <v>331</v>
      </c>
      <c r="E167" s="25">
        <v>46094</v>
      </c>
      <c r="F167" s="27">
        <v>685989.93</v>
      </c>
      <c r="G167" s="26"/>
      <c r="H167" s="26" t="s">
        <v>849</v>
      </c>
      <c r="I167" s="27">
        <v>0</v>
      </c>
      <c r="J167" s="26">
        <v>0</v>
      </c>
      <c r="K167" s="28" t="s">
        <v>1125</v>
      </c>
      <c r="L167" s="26" t="s">
        <v>1126</v>
      </c>
      <c r="M167" s="26"/>
    </row>
    <row r="168" spans="1:13" x14ac:dyDescent="0.3">
      <c r="A168" s="25">
        <v>46094</v>
      </c>
      <c r="B168" s="27">
        <v>6000000</v>
      </c>
      <c r="C168" s="26"/>
      <c r="D168" s="26" t="s">
        <v>332</v>
      </c>
      <c r="E168" s="25">
        <v>46094</v>
      </c>
      <c r="F168" s="26"/>
      <c r="G168" s="27">
        <v>6000000</v>
      </c>
      <c r="H168" s="26" t="s">
        <v>841</v>
      </c>
      <c r="I168" s="27">
        <v>0</v>
      </c>
      <c r="J168" s="26">
        <v>0</v>
      </c>
      <c r="K168" s="28" t="s">
        <v>1125</v>
      </c>
      <c r="L168" s="26" t="s">
        <v>1126</v>
      </c>
      <c r="M168" s="26"/>
    </row>
    <row r="169" spans="1:13" x14ac:dyDescent="0.3">
      <c r="A169" s="25">
        <v>46094</v>
      </c>
      <c r="B169" s="26"/>
      <c r="C169" s="27">
        <v>326369.75</v>
      </c>
      <c r="D169" s="26" t="s">
        <v>333</v>
      </c>
      <c r="E169" s="25">
        <v>46094</v>
      </c>
      <c r="F169" s="27">
        <v>326369.75</v>
      </c>
      <c r="G169" s="26"/>
      <c r="H169" s="26" t="s">
        <v>851</v>
      </c>
      <c r="I169" s="27">
        <v>0</v>
      </c>
      <c r="J169" s="26">
        <v>0</v>
      </c>
      <c r="K169" s="28" t="s">
        <v>1125</v>
      </c>
      <c r="L169" s="26" t="s">
        <v>1126</v>
      </c>
      <c r="M169" s="26"/>
    </row>
    <row r="170" spans="1:13" x14ac:dyDescent="0.3">
      <c r="A170" s="25">
        <v>46094</v>
      </c>
      <c r="B170" s="26"/>
      <c r="C170" s="27">
        <v>663142.12</v>
      </c>
      <c r="D170" s="26" t="s">
        <v>334</v>
      </c>
      <c r="E170" s="25">
        <v>46094</v>
      </c>
      <c r="F170" s="27">
        <v>663142.12</v>
      </c>
      <c r="G170" s="26"/>
      <c r="H170" s="26" t="s">
        <v>853</v>
      </c>
      <c r="I170" s="27">
        <v>0</v>
      </c>
      <c r="J170" s="26">
        <v>0</v>
      </c>
      <c r="K170" s="28" t="s">
        <v>1125</v>
      </c>
      <c r="L170" s="26" t="s">
        <v>1126</v>
      </c>
      <c r="M170" s="26"/>
    </row>
    <row r="171" spans="1:13" x14ac:dyDescent="0.3">
      <c r="A171" s="25">
        <v>46094</v>
      </c>
      <c r="B171" s="26"/>
      <c r="C171" s="27">
        <v>4881.68</v>
      </c>
      <c r="D171" s="26" t="s">
        <v>335</v>
      </c>
      <c r="E171" s="25">
        <v>46094</v>
      </c>
      <c r="F171" s="27">
        <v>4881.68</v>
      </c>
      <c r="G171" s="26"/>
      <c r="H171" s="26" t="s">
        <v>855</v>
      </c>
      <c r="I171" s="27">
        <v>0</v>
      </c>
      <c r="J171" s="26">
        <v>0</v>
      </c>
      <c r="K171" s="28" t="s">
        <v>1125</v>
      </c>
      <c r="L171" s="26" t="s">
        <v>1126</v>
      </c>
      <c r="M171" s="26"/>
    </row>
    <row r="172" spans="1:13" x14ac:dyDescent="0.3">
      <c r="A172" s="25">
        <v>46094</v>
      </c>
      <c r="B172" s="26"/>
      <c r="C172" s="27">
        <v>3000000</v>
      </c>
      <c r="D172" s="26" t="s">
        <v>336</v>
      </c>
      <c r="E172" s="25">
        <v>46094</v>
      </c>
      <c r="F172" s="27">
        <v>3000000</v>
      </c>
      <c r="G172" s="26"/>
      <c r="H172" s="26" t="s">
        <v>857</v>
      </c>
      <c r="I172" s="27">
        <v>0</v>
      </c>
      <c r="J172" s="26">
        <v>0</v>
      </c>
      <c r="K172" s="28" t="s">
        <v>1125</v>
      </c>
      <c r="L172" s="26" t="s">
        <v>1126</v>
      </c>
      <c r="M172" s="26"/>
    </row>
    <row r="173" spans="1:13" x14ac:dyDescent="0.3">
      <c r="A173" s="25">
        <v>46094</v>
      </c>
      <c r="B173" s="27">
        <v>4713252.5</v>
      </c>
      <c r="C173" s="26"/>
      <c r="D173" s="26" t="s">
        <v>337</v>
      </c>
      <c r="E173" s="25">
        <v>46094</v>
      </c>
      <c r="F173" s="26"/>
      <c r="G173" s="27">
        <v>4713252.5</v>
      </c>
      <c r="H173" s="26" t="s">
        <v>858</v>
      </c>
      <c r="I173" s="27">
        <v>0</v>
      </c>
      <c r="J173" s="26">
        <v>0</v>
      </c>
      <c r="K173" s="28" t="s">
        <v>1125</v>
      </c>
      <c r="L173" s="26" t="s">
        <v>1126</v>
      </c>
      <c r="M173" s="26"/>
    </row>
    <row r="174" spans="1:13" x14ac:dyDescent="0.3">
      <c r="A174" s="25">
        <v>46097</v>
      </c>
      <c r="B174" s="26"/>
      <c r="C174" s="27">
        <v>667562</v>
      </c>
      <c r="D174" s="26" t="s">
        <v>343</v>
      </c>
      <c r="E174" s="25">
        <v>46097</v>
      </c>
      <c r="F174" s="27">
        <v>667562</v>
      </c>
      <c r="G174" s="26"/>
      <c r="H174" s="26" t="s">
        <v>868</v>
      </c>
      <c r="I174" s="27">
        <v>0</v>
      </c>
      <c r="J174" s="26">
        <v>0</v>
      </c>
      <c r="K174" s="28" t="s">
        <v>1125</v>
      </c>
      <c r="L174" s="26" t="s">
        <v>1126</v>
      </c>
      <c r="M174" s="26"/>
    </row>
    <row r="175" spans="1:13" x14ac:dyDescent="0.3">
      <c r="A175" s="25">
        <v>46097</v>
      </c>
      <c r="B175" s="27">
        <v>1214855.04</v>
      </c>
      <c r="C175" s="26"/>
      <c r="D175" s="26" t="s">
        <v>344</v>
      </c>
      <c r="E175" s="25">
        <v>46097</v>
      </c>
      <c r="F175" s="26"/>
      <c r="G175" s="27">
        <v>1214855.04</v>
      </c>
      <c r="H175" s="26" t="s">
        <v>872</v>
      </c>
      <c r="I175" s="27">
        <v>0</v>
      </c>
      <c r="J175" s="26">
        <v>0</v>
      </c>
      <c r="K175" s="28" t="s">
        <v>1125</v>
      </c>
      <c r="L175" s="26" t="s">
        <v>1126</v>
      </c>
      <c r="M175" s="26"/>
    </row>
    <row r="176" spans="1:13" x14ac:dyDescent="0.3">
      <c r="A176" s="25">
        <v>46097</v>
      </c>
      <c r="B176" s="27">
        <v>364826.34</v>
      </c>
      <c r="C176" s="26"/>
      <c r="D176" s="26" t="s">
        <v>345</v>
      </c>
      <c r="E176" s="25">
        <v>46097</v>
      </c>
      <c r="F176" s="26"/>
      <c r="G176" s="27">
        <v>364826.34</v>
      </c>
      <c r="H176" s="26" t="s">
        <v>871</v>
      </c>
      <c r="I176" s="27">
        <v>0</v>
      </c>
      <c r="J176" s="26">
        <v>0</v>
      </c>
      <c r="K176" s="28" t="s">
        <v>1125</v>
      </c>
      <c r="L176" s="26" t="s">
        <v>1126</v>
      </c>
      <c r="M176" s="26"/>
    </row>
    <row r="177" spans="1:13" x14ac:dyDescent="0.3">
      <c r="A177" s="25">
        <v>46097</v>
      </c>
      <c r="B177" s="27">
        <v>524468.05000000005</v>
      </c>
      <c r="C177" s="26"/>
      <c r="D177" s="26" t="s">
        <v>346</v>
      </c>
      <c r="E177" s="25">
        <v>46097</v>
      </c>
      <c r="F177" s="26"/>
      <c r="G177" s="27">
        <v>524468.05000000005</v>
      </c>
      <c r="H177" s="26" t="s">
        <v>870</v>
      </c>
      <c r="I177" s="27">
        <v>0</v>
      </c>
      <c r="J177" s="26">
        <v>0</v>
      </c>
      <c r="K177" s="28" t="s">
        <v>1125</v>
      </c>
      <c r="L177" s="26" t="s">
        <v>1126</v>
      </c>
      <c r="M177" s="26"/>
    </row>
    <row r="178" spans="1:13" x14ac:dyDescent="0.3">
      <c r="A178" s="25">
        <v>46097</v>
      </c>
      <c r="B178" s="27">
        <v>301511.90999999997</v>
      </c>
      <c r="C178" s="26"/>
      <c r="D178" s="26" t="s">
        <v>347</v>
      </c>
      <c r="E178" s="25">
        <v>46097</v>
      </c>
      <c r="F178" s="26"/>
      <c r="G178" s="27">
        <v>301511.90999999997</v>
      </c>
      <c r="H178" s="26" t="s">
        <v>869</v>
      </c>
      <c r="I178" s="27">
        <v>0</v>
      </c>
      <c r="J178" s="26">
        <v>0</v>
      </c>
      <c r="K178" s="28" t="s">
        <v>1125</v>
      </c>
      <c r="L178" s="26" t="s">
        <v>1126</v>
      </c>
      <c r="M178" s="26"/>
    </row>
    <row r="179" spans="1:13" x14ac:dyDescent="0.3">
      <c r="A179" s="25">
        <v>46097</v>
      </c>
      <c r="B179" s="27">
        <v>95216.62</v>
      </c>
      <c r="C179" s="26"/>
      <c r="D179" s="26" t="s">
        <v>348</v>
      </c>
      <c r="E179" s="25">
        <v>46097</v>
      </c>
      <c r="F179" s="26"/>
      <c r="G179" s="27">
        <v>95216.62</v>
      </c>
      <c r="H179" s="26" t="s">
        <v>865</v>
      </c>
      <c r="I179" s="27">
        <v>0</v>
      </c>
      <c r="J179" s="26">
        <v>0</v>
      </c>
      <c r="K179" s="28" t="s">
        <v>1125</v>
      </c>
      <c r="L179" s="26" t="s">
        <v>1126</v>
      </c>
      <c r="M179" s="26"/>
    </row>
    <row r="180" spans="1:13" x14ac:dyDescent="0.3">
      <c r="A180" s="25">
        <v>46097</v>
      </c>
      <c r="B180" s="26"/>
      <c r="C180" s="27">
        <v>258192.72</v>
      </c>
      <c r="D180" s="26" t="s">
        <v>349</v>
      </c>
      <c r="E180" s="25">
        <v>46097</v>
      </c>
      <c r="F180" s="27">
        <v>258192.72</v>
      </c>
      <c r="G180" s="26"/>
      <c r="H180" s="26" t="s">
        <v>868</v>
      </c>
      <c r="I180" s="27">
        <v>0</v>
      </c>
      <c r="J180" s="26">
        <v>0</v>
      </c>
      <c r="K180" s="28" t="s">
        <v>1125</v>
      </c>
      <c r="L180" s="26" t="s">
        <v>1126</v>
      </c>
      <c r="M180" s="26"/>
    </row>
    <row r="181" spans="1:13" x14ac:dyDescent="0.3">
      <c r="A181" s="25">
        <v>46097</v>
      </c>
      <c r="B181" s="26"/>
      <c r="C181" s="27">
        <v>118943</v>
      </c>
      <c r="D181" s="26" t="s">
        <v>350</v>
      </c>
      <c r="E181" s="25">
        <v>46097</v>
      </c>
      <c r="F181" s="27">
        <v>118943</v>
      </c>
      <c r="G181" s="26"/>
      <c r="H181" s="26" t="s">
        <v>860</v>
      </c>
      <c r="I181" s="27">
        <v>0</v>
      </c>
      <c r="J181" s="26">
        <v>0</v>
      </c>
      <c r="K181" s="28" t="s">
        <v>1125</v>
      </c>
      <c r="L181" s="26" t="s">
        <v>1126</v>
      </c>
      <c r="M181" s="26"/>
    </row>
    <row r="182" spans="1:13" x14ac:dyDescent="0.3">
      <c r="A182" s="25">
        <v>46097</v>
      </c>
      <c r="B182" s="26"/>
      <c r="C182" s="27">
        <v>19241</v>
      </c>
      <c r="D182" s="26" t="s">
        <v>351</v>
      </c>
      <c r="E182" s="25">
        <v>46097</v>
      </c>
      <c r="F182" s="27">
        <v>19241</v>
      </c>
      <c r="G182" s="26"/>
      <c r="H182" s="26" t="s">
        <v>862</v>
      </c>
      <c r="I182" s="27">
        <v>0</v>
      </c>
      <c r="J182" s="26">
        <v>0</v>
      </c>
      <c r="K182" s="28" t="s">
        <v>1125</v>
      </c>
      <c r="L182" s="26" t="s">
        <v>1126</v>
      </c>
      <c r="M182" s="26"/>
    </row>
    <row r="183" spans="1:13" x14ac:dyDescent="0.3">
      <c r="A183" s="25">
        <v>46097</v>
      </c>
      <c r="B183" s="26"/>
      <c r="C183" s="27">
        <v>874702.13</v>
      </c>
      <c r="D183" s="26" t="s">
        <v>352</v>
      </c>
      <c r="E183" s="25">
        <v>46097</v>
      </c>
      <c r="F183" s="27">
        <v>874702.13</v>
      </c>
      <c r="G183" s="26"/>
      <c r="H183" s="26" t="s">
        <v>863</v>
      </c>
      <c r="I183" s="27">
        <v>0</v>
      </c>
      <c r="J183" s="26">
        <v>0</v>
      </c>
      <c r="K183" s="28" t="s">
        <v>1125</v>
      </c>
      <c r="L183" s="26" t="s">
        <v>1126</v>
      </c>
      <c r="M183" s="26"/>
    </row>
    <row r="184" spans="1:13" x14ac:dyDescent="0.3">
      <c r="A184" s="25">
        <v>46097</v>
      </c>
      <c r="B184" s="26"/>
      <c r="C184" s="27">
        <v>10824.66</v>
      </c>
      <c r="D184" s="26" t="s">
        <v>353</v>
      </c>
      <c r="E184" s="25">
        <v>46097</v>
      </c>
      <c r="F184" s="27">
        <v>10824.66</v>
      </c>
      <c r="G184" s="26"/>
      <c r="H184" s="26" t="s">
        <v>866</v>
      </c>
      <c r="I184" s="27">
        <v>0</v>
      </c>
      <c r="J184" s="26">
        <v>0</v>
      </c>
      <c r="K184" s="28" t="s">
        <v>1125</v>
      </c>
      <c r="L184" s="26" t="s">
        <v>1126</v>
      </c>
      <c r="M184" s="26"/>
    </row>
    <row r="185" spans="1:13" x14ac:dyDescent="0.3">
      <c r="A185" s="25">
        <v>46098</v>
      </c>
      <c r="B185" s="26"/>
      <c r="C185" s="27">
        <v>17190.939999999999</v>
      </c>
      <c r="D185" s="26" t="s">
        <v>358</v>
      </c>
      <c r="E185" s="25">
        <v>46098</v>
      </c>
      <c r="F185" s="27">
        <v>17190.939999999999</v>
      </c>
      <c r="G185" s="26"/>
      <c r="H185" s="26" t="s">
        <v>894</v>
      </c>
      <c r="I185" s="27">
        <v>0</v>
      </c>
      <c r="J185" s="26">
        <v>0</v>
      </c>
      <c r="K185" s="28" t="s">
        <v>1125</v>
      </c>
      <c r="L185" s="26" t="s">
        <v>1126</v>
      </c>
      <c r="M185" s="26"/>
    </row>
    <row r="186" spans="1:13" x14ac:dyDescent="0.3">
      <c r="A186" s="25">
        <v>46098</v>
      </c>
      <c r="B186" s="26"/>
      <c r="C186" s="27">
        <v>20963.04</v>
      </c>
      <c r="D186" s="26" t="s">
        <v>359</v>
      </c>
      <c r="E186" s="25">
        <v>46098</v>
      </c>
      <c r="F186" s="27">
        <v>20963.04</v>
      </c>
      <c r="G186" s="26"/>
      <c r="H186" s="26" t="s">
        <v>894</v>
      </c>
      <c r="I186" s="27">
        <v>0</v>
      </c>
      <c r="J186" s="26">
        <v>0</v>
      </c>
      <c r="K186" s="28" t="s">
        <v>1125</v>
      </c>
      <c r="L186" s="26" t="s">
        <v>1126</v>
      </c>
      <c r="M186" s="26"/>
    </row>
    <row r="187" spans="1:13" x14ac:dyDescent="0.3">
      <c r="A187" s="25">
        <v>46098</v>
      </c>
      <c r="B187" s="26"/>
      <c r="C187" s="27">
        <v>7000000</v>
      </c>
      <c r="D187" s="26" t="s">
        <v>360</v>
      </c>
      <c r="E187" s="25">
        <v>46098</v>
      </c>
      <c r="F187" s="27">
        <v>7000000</v>
      </c>
      <c r="G187" s="26"/>
      <c r="H187" s="26" t="s">
        <v>878</v>
      </c>
      <c r="I187" s="27">
        <v>0</v>
      </c>
      <c r="J187" s="26">
        <v>0</v>
      </c>
      <c r="K187" s="28" t="s">
        <v>1125</v>
      </c>
      <c r="L187" s="26" t="s">
        <v>1126</v>
      </c>
      <c r="M187" s="26"/>
    </row>
    <row r="188" spans="1:13" x14ac:dyDescent="0.3">
      <c r="A188" s="25">
        <v>46098</v>
      </c>
      <c r="B188" s="26"/>
      <c r="C188" s="27">
        <v>83336.3</v>
      </c>
      <c r="D188" s="26" t="s">
        <v>361</v>
      </c>
      <c r="E188" s="25">
        <v>46098</v>
      </c>
      <c r="F188" s="27">
        <v>83336.3</v>
      </c>
      <c r="G188" s="26"/>
      <c r="H188" s="26" t="s">
        <v>883</v>
      </c>
      <c r="I188" s="27">
        <v>0</v>
      </c>
      <c r="J188" s="26">
        <v>0</v>
      </c>
      <c r="K188" s="28" t="s">
        <v>1125</v>
      </c>
      <c r="L188" s="26" t="s">
        <v>1126</v>
      </c>
      <c r="M188" s="26"/>
    </row>
    <row r="189" spans="1:13" x14ac:dyDescent="0.3">
      <c r="A189" s="25">
        <v>46098</v>
      </c>
      <c r="B189" s="26"/>
      <c r="C189" s="27">
        <v>32915.57</v>
      </c>
      <c r="D189" s="26" t="s">
        <v>362</v>
      </c>
      <c r="E189" s="25">
        <v>46098</v>
      </c>
      <c r="F189" s="27">
        <v>32915.57</v>
      </c>
      <c r="G189" s="26"/>
      <c r="H189" s="26" t="s">
        <v>885</v>
      </c>
      <c r="I189" s="27">
        <v>0</v>
      </c>
      <c r="J189" s="26">
        <v>0</v>
      </c>
      <c r="K189" s="28" t="s">
        <v>1125</v>
      </c>
      <c r="L189" s="26" t="s">
        <v>1126</v>
      </c>
      <c r="M189" s="26"/>
    </row>
    <row r="190" spans="1:13" x14ac:dyDescent="0.3">
      <c r="A190" s="25">
        <v>46098</v>
      </c>
      <c r="B190" s="26"/>
      <c r="C190" s="27">
        <v>773782.85</v>
      </c>
      <c r="D190" s="26" t="s">
        <v>363</v>
      </c>
      <c r="E190" s="25">
        <v>46098</v>
      </c>
      <c r="F190" s="27">
        <v>773782.85</v>
      </c>
      <c r="G190" s="26"/>
      <c r="H190" s="26" t="s">
        <v>887</v>
      </c>
      <c r="I190" s="27">
        <v>0</v>
      </c>
      <c r="J190" s="26">
        <v>0</v>
      </c>
      <c r="K190" s="28" t="s">
        <v>1125</v>
      </c>
      <c r="L190" s="26" t="s">
        <v>1126</v>
      </c>
      <c r="M190" s="26"/>
    </row>
    <row r="191" spans="1:13" x14ac:dyDescent="0.3">
      <c r="A191" s="25">
        <v>46098</v>
      </c>
      <c r="B191" s="26"/>
      <c r="C191" s="27">
        <v>28476.48</v>
      </c>
      <c r="D191" s="26" t="s">
        <v>364</v>
      </c>
      <c r="E191" s="25">
        <v>46098</v>
      </c>
      <c r="F191" s="27">
        <v>28476.48</v>
      </c>
      <c r="G191" s="26"/>
      <c r="H191" s="26" t="s">
        <v>889</v>
      </c>
      <c r="I191" s="27">
        <v>0</v>
      </c>
      <c r="J191" s="26">
        <v>0</v>
      </c>
      <c r="K191" s="28" t="s">
        <v>1125</v>
      </c>
      <c r="L191" s="26" t="s">
        <v>1126</v>
      </c>
      <c r="M191" s="26"/>
    </row>
    <row r="192" spans="1:13" x14ac:dyDescent="0.3">
      <c r="A192" s="25">
        <v>46098</v>
      </c>
      <c r="B192" s="27">
        <v>25000</v>
      </c>
      <c r="C192" s="26"/>
      <c r="D192" s="26" t="s">
        <v>365</v>
      </c>
      <c r="E192" s="25">
        <v>46098</v>
      </c>
      <c r="F192" s="26"/>
      <c r="G192" s="27">
        <v>25000</v>
      </c>
      <c r="H192" s="26" t="s">
        <v>877</v>
      </c>
      <c r="I192" s="27">
        <v>0</v>
      </c>
      <c r="J192" s="26">
        <v>0</v>
      </c>
      <c r="K192" s="28" t="s">
        <v>1125</v>
      </c>
      <c r="L192" s="26" t="s">
        <v>1126</v>
      </c>
      <c r="M192" s="26"/>
    </row>
    <row r="193" spans="1:13" x14ac:dyDescent="0.3">
      <c r="A193" s="25">
        <v>46098</v>
      </c>
      <c r="B193" s="27">
        <v>113843.8</v>
      </c>
      <c r="C193" s="26"/>
      <c r="D193" s="26" t="s">
        <v>366</v>
      </c>
      <c r="E193" s="25">
        <v>46098</v>
      </c>
      <c r="F193" s="26"/>
      <c r="G193" s="27">
        <v>113843.8</v>
      </c>
      <c r="H193" s="26" t="s">
        <v>876</v>
      </c>
      <c r="I193" s="27">
        <v>0</v>
      </c>
      <c r="J193" s="26">
        <v>0</v>
      </c>
      <c r="K193" s="28" t="s">
        <v>1125</v>
      </c>
      <c r="L193" s="26" t="s">
        <v>1126</v>
      </c>
      <c r="M193" s="26"/>
    </row>
    <row r="194" spans="1:13" x14ac:dyDescent="0.3">
      <c r="A194" s="25">
        <v>46098</v>
      </c>
      <c r="B194" s="27">
        <v>70500</v>
      </c>
      <c r="C194" s="26"/>
      <c r="D194" s="26" t="s">
        <v>367</v>
      </c>
      <c r="E194" s="25">
        <v>46098</v>
      </c>
      <c r="F194" s="26"/>
      <c r="G194" s="27">
        <v>70500</v>
      </c>
      <c r="H194" s="26" t="s">
        <v>875</v>
      </c>
      <c r="I194" s="27">
        <v>0</v>
      </c>
      <c r="J194" s="26">
        <v>0</v>
      </c>
      <c r="K194" s="28" t="s">
        <v>1125</v>
      </c>
      <c r="L194" s="26" t="s">
        <v>1126</v>
      </c>
      <c r="M194" s="26"/>
    </row>
    <row r="195" spans="1:13" x14ac:dyDescent="0.3">
      <c r="A195" s="25">
        <v>46098</v>
      </c>
      <c r="B195" s="27">
        <v>60376.45</v>
      </c>
      <c r="C195" s="26"/>
      <c r="D195" s="26" t="s">
        <v>368</v>
      </c>
      <c r="E195" s="25">
        <v>46098</v>
      </c>
      <c r="F195" s="26"/>
      <c r="G195" s="27">
        <v>60376.45</v>
      </c>
      <c r="H195" s="26" t="s">
        <v>874</v>
      </c>
      <c r="I195" s="27">
        <v>0</v>
      </c>
      <c r="J195" s="26">
        <v>0</v>
      </c>
      <c r="K195" s="28" t="s">
        <v>1125</v>
      </c>
      <c r="L195" s="26" t="s">
        <v>1126</v>
      </c>
      <c r="M195" s="26"/>
    </row>
    <row r="196" spans="1:13" x14ac:dyDescent="0.3">
      <c r="A196" s="25">
        <v>46098</v>
      </c>
      <c r="B196" s="27">
        <v>306702.27</v>
      </c>
      <c r="C196" s="26"/>
      <c r="D196" s="26" t="s">
        <v>369</v>
      </c>
      <c r="E196" s="25">
        <v>46098</v>
      </c>
      <c r="F196" s="26"/>
      <c r="G196" s="27">
        <v>306702.27</v>
      </c>
      <c r="H196" s="26" t="s">
        <v>873</v>
      </c>
      <c r="I196" s="27">
        <v>0</v>
      </c>
      <c r="J196" s="26">
        <v>0</v>
      </c>
      <c r="K196" s="28" t="s">
        <v>1125</v>
      </c>
      <c r="L196" s="26" t="s">
        <v>1126</v>
      </c>
      <c r="M196" s="26"/>
    </row>
    <row r="197" spans="1:13" x14ac:dyDescent="0.3">
      <c r="A197" s="25">
        <v>46098</v>
      </c>
      <c r="B197" s="27">
        <v>20269.8</v>
      </c>
      <c r="C197" s="26"/>
      <c r="D197" s="26" t="s">
        <v>370</v>
      </c>
      <c r="E197" s="25">
        <v>46098</v>
      </c>
      <c r="F197" s="26"/>
      <c r="G197" s="27">
        <v>20269.8</v>
      </c>
      <c r="H197" s="26" t="s">
        <v>891</v>
      </c>
      <c r="I197" s="27">
        <v>0</v>
      </c>
      <c r="J197" s="26">
        <v>0</v>
      </c>
      <c r="K197" s="28" t="s">
        <v>1125</v>
      </c>
      <c r="L197" s="26" t="s">
        <v>1126</v>
      </c>
      <c r="M197" s="26"/>
    </row>
    <row r="198" spans="1:13" x14ac:dyDescent="0.3">
      <c r="A198" s="25">
        <v>46098</v>
      </c>
      <c r="B198" s="26"/>
      <c r="C198" s="27">
        <v>532223.94999999995</v>
      </c>
      <c r="D198" s="26" t="s">
        <v>371</v>
      </c>
      <c r="E198" s="25">
        <v>46098</v>
      </c>
      <c r="F198" s="27">
        <v>532223.94999999995</v>
      </c>
      <c r="G198" s="26"/>
      <c r="H198" s="26" t="s">
        <v>892</v>
      </c>
      <c r="I198" s="27">
        <v>0</v>
      </c>
      <c r="J198" s="26">
        <v>0</v>
      </c>
      <c r="K198" s="28" t="s">
        <v>1125</v>
      </c>
      <c r="L198" s="26" t="s">
        <v>1126</v>
      </c>
      <c r="M198" s="26"/>
    </row>
    <row r="199" spans="1:13" x14ac:dyDescent="0.3">
      <c r="A199" s="25">
        <v>46099</v>
      </c>
      <c r="B199" s="26"/>
      <c r="C199" s="27">
        <v>57973.91</v>
      </c>
      <c r="D199" s="26" t="s">
        <v>384</v>
      </c>
      <c r="E199" s="25">
        <v>46099</v>
      </c>
      <c r="F199" s="27">
        <v>57973.91</v>
      </c>
      <c r="G199" s="26"/>
      <c r="H199" s="26" t="s">
        <v>914</v>
      </c>
      <c r="I199" s="27">
        <v>0</v>
      </c>
      <c r="J199" s="26">
        <v>0</v>
      </c>
      <c r="K199" s="28" t="s">
        <v>1125</v>
      </c>
      <c r="L199" s="26" t="s">
        <v>1126</v>
      </c>
      <c r="M199" s="26"/>
    </row>
    <row r="200" spans="1:13" x14ac:dyDescent="0.3">
      <c r="A200" s="25">
        <v>46099</v>
      </c>
      <c r="B200" s="27">
        <v>1607238.36</v>
      </c>
      <c r="C200" s="26"/>
      <c r="D200" s="26" t="s">
        <v>385</v>
      </c>
      <c r="E200" s="25">
        <v>46099</v>
      </c>
      <c r="F200" s="26"/>
      <c r="G200" s="27">
        <v>1607238.36</v>
      </c>
      <c r="H200" s="26" t="s">
        <v>901</v>
      </c>
      <c r="I200" s="27">
        <v>0</v>
      </c>
      <c r="J200" s="26">
        <v>0</v>
      </c>
      <c r="K200" s="28" t="s">
        <v>1125</v>
      </c>
      <c r="L200" s="26" t="s">
        <v>1126</v>
      </c>
      <c r="M200" s="26"/>
    </row>
    <row r="201" spans="1:13" x14ac:dyDescent="0.3">
      <c r="A201" s="25">
        <v>46099</v>
      </c>
      <c r="B201" s="26"/>
      <c r="C201" s="27">
        <v>265525.07</v>
      </c>
      <c r="D201" s="26" t="s">
        <v>386</v>
      </c>
      <c r="E201" s="25">
        <v>46099</v>
      </c>
      <c r="F201" s="27">
        <v>265525.07</v>
      </c>
      <c r="G201" s="26"/>
      <c r="H201" s="26" t="s">
        <v>914</v>
      </c>
      <c r="I201" s="27">
        <v>0</v>
      </c>
      <c r="J201" s="26">
        <v>0</v>
      </c>
      <c r="K201" s="28" t="s">
        <v>1125</v>
      </c>
      <c r="L201" s="26" t="s">
        <v>1126</v>
      </c>
      <c r="M201" s="26"/>
    </row>
    <row r="202" spans="1:13" x14ac:dyDescent="0.3">
      <c r="A202" s="25">
        <v>46099</v>
      </c>
      <c r="B202" s="26"/>
      <c r="C202" s="27">
        <v>345543</v>
      </c>
      <c r="D202" s="26" t="s">
        <v>387</v>
      </c>
      <c r="E202" s="25">
        <v>46099</v>
      </c>
      <c r="F202" s="27">
        <v>345543</v>
      </c>
      <c r="G202" s="26"/>
      <c r="H202" s="26" t="s">
        <v>912</v>
      </c>
      <c r="I202" s="27">
        <v>0</v>
      </c>
      <c r="J202" s="26">
        <v>0</v>
      </c>
      <c r="K202" s="28" t="s">
        <v>1125</v>
      </c>
      <c r="L202" s="26" t="s">
        <v>1126</v>
      </c>
      <c r="M202" s="26"/>
    </row>
    <row r="203" spans="1:13" x14ac:dyDescent="0.3">
      <c r="A203" s="25">
        <v>46099</v>
      </c>
      <c r="B203" s="26"/>
      <c r="C203" s="27">
        <v>85708.52</v>
      </c>
      <c r="D203" s="26" t="s">
        <v>388</v>
      </c>
      <c r="E203" s="25">
        <v>46099</v>
      </c>
      <c r="F203" s="27">
        <v>85708.52</v>
      </c>
      <c r="G203" s="26"/>
      <c r="H203" s="26" t="s">
        <v>910</v>
      </c>
      <c r="I203" s="27">
        <v>0</v>
      </c>
      <c r="J203" s="26">
        <v>0</v>
      </c>
      <c r="K203" s="28" t="s">
        <v>1125</v>
      </c>
      <c r="L203" s="26" t="s">
        <v>1126</v>
      </c>
      <c r="M203" s="26"/>
    </row>
    <row r="204" spans="1:13" x14ac:dyDescent="0.3">
      <c r="A204" s="25">
        <v>46099</v>
      </c>
      <c r="B204" s="26"/>
      <c r="C204" s="27">
        <v>375371.2</v>
      </c>
      <c r="D204" s="26" t="s">
        <v>389</v>
      </c>
      <c r="E204" s="25">
        <v>46099</v>
      </c>
      <c r="F204" s="27">
        <v>375371.2</v>
      </c>
      <c r="G204" s="26"/>
      <c r="H204" s="26" t="s">
        <v>908</v>
      </c>
      <c r="I204" s="27">
        <v>0</v>
      </c>
      <c r="J204" s="26">
        <v>0</v>
      </c>
      <c r="K204" s="28" t="s">
        <v>1125</v>
      </c>
      <c r="L204" s="26" t="s">
        <v>1126</v>
      </c>
      <c r="M204" s="26"/>
    </row>
    <row r="205" spans="1:13" x14ac:dyDescent="0.3">
      <c r="A205" s="25">
        <v>46099</v>
      </c>
      <c r="B205" s="27">
        <v>11000000</v>
      </c>
      <c r="C205" s="26"/>
      <c r="D205" s="26" t="s">
        <v>390</v>
      </c>
      <c r="E205" s="25">
        <v>46099</v>
      </c>
      <c r="F205" s="26"/>
      <c r="G205" s="27">
        <v>11000000</v>
      </c>
      <c r="H205" s="26" t="s">
        <v>902</v>
      </c>
      <c r="I205" s="27">
        <v>0</v>
      </c>
      <c r="J205" s="26">
        <v>0</v>
      </c>
      <c r="K205" s="28" t="s">
        <v>1125</v>
      </c>
      <c r="L205" s="26" t="s">
        <v>1126</v>
      </c>
      <c r="M205" s="26"/>
    </row>
    <row r="206" spans="1:13" x14ac:dyDescent="0.3">
      <c r="A206" s="25">
        <v>46099</v>
      </c>
      <c r="B206" s="26"/>
      <c r="C206" s="27">
        <v>393794.5</v>
      </c>
      <c r="D206" s="26" t="s">
        <v>391</v>
      </c>
      <c r="E206" s="25">
        <v>46099</v>
      </c>
      <c r="F206" s="27">
        <v>393794.5</v>
      </c>
      <c r="G206" s="26"/>
      <c r="H206" s="26" t="s">
        <v>906</v>
      </c>
      <c r="I206" s="27">
        <v>0</v>
      </c>
      <c r="J206" s="26">
        <v>0</v>
      </c>
      <c r="K206" s="28" t="s">
        <v>1125</v>
      </c>
      <c r="L206" s="26" t="s">
        <v>1126</v>
      </c>
      <c r="M206" s="26"/>
    </row>
    <row r="207" spans="1:13" x14ac:dyDescent="0.3">
      <c r="A207" s="25">
        <v>46099</v>
      </c>
      <c r="B207" s="27">
        <v>450000</v>
      </c>
      <c r="C207" s="26"/>
      <c r="D207" s="26" t="s">
        <v>392</v>
      </c>
      <c r="E207" s="25">
        <v>46099</v>
      </c>
      <c r="F207" s="26"/>
      <c r="G207" s="27">
        <v>450000</v>
      </c>
      <c r="H207" s="26" t="s">
        <v>903</v>
      </c>
      <c r="I207" s="27">
        <v>0</v>
      </c>
      <c r="J207" s="26">
        <v>0</v>
      </c>
      <c r="K207" s="28" t="s">
        <v>1125</v>
      </c>
      <c r="L207" s="26" t="s">
        <v>1126</v>
      </c>
      <c r="M207" s="26"/>
    </row>
    <row r="208" spans="1:13" x14ac:dyDescent="0.3">
      <c r="A208" s="25">
        <v>46099</v>
      </c>
      <c r="B208" s="26"/>
      <c r="C208" s="27">
        <v>1252079.22</v>
      </c>
      <c r="D208" s="26" t="s">
        <v>393</v>
      </c>
      <c r="E208" s="25">
        <v>46099</v>
      </c>
      <c r="F208" s="27">
        <v>1252079.22</v>
      </c>
      <c r="G208" s="26"/>
      <c r="H208" s="26" t="s">
        <v>904</v>
      </c>
      <c r="I208" s="27">
        <v>0</v>
      </c>
      <c r="J208" s="26">
        <v>0</v>
      </c>
      <c r="K208" s="28" t="s">
        <v>1125</v>
      </c>
      <c r="L208" s="26" t="s">
        <v>1126</v>
      </c>
      <c r="M208" s="26"/>
    </row>
    <row r="209" spans="1:13" x14ac:dyDescent="0.3">
      <c r="A209" s="25">
        <v>46100</v>
      </c>
      <c r="B209" s="26"/>
      <c r="C209" s="27">
        <v>167171.23000000001</v>
      </c>
      <c r="D209" s="26" t="s">
        <v>399</v>
      </c>
      <c r="E209" s="25">
        <v>46100</v>
      </c>
      <c r="F209" s="27">
        <v>167171.23000000001</v>
      </c>
      <c r="G209" s="26"/>
      <c r="H209" s="26" t="s">
        <v>932</v>
      </c>
      <c r="I209" s="27">
        <v>0</v>
      </c>
      <c r="J209" s="26">
        <v>0</v>
      </c>
      <c r="K209" s="28" t="s">
        <v>1125</v>
      </c>
      <c r="L209" s="26" t="s">
        <v>1126</v>
      </c>
      <c r="M209" s="26"/>
    </row>
    <row r="210" spans="1:13" x14ac:dyDescent="0.3">
      <c r="A210" s="25">
        <v>46100</v>
      </c>
      <c r="B210" s="27">
        <v>500000</v>
      </c>
      <c r="C210" s="26"/>
      <c r="D210" s="26" t="s">
        <v>400</v>
      </c>
      <c r="E210" s="25">
        <v>46100</v>
      </c>
      <c r="F210" s="26"/>
      <c r="G210" s="27">
        <v>500000</v>
      </c>
      <c r="H210" s="26" t="s">
        <v>917</v>
      </c>
      <c r="I210" s="27">
        <v>0</v>
      </c>
      <c r="J210" s="26">
        <v>0</v>
      </c>
      <c r="K210" s="28" t="s">
        <v>1125</v>
      </c>
      <c r="L210" s="26" t="s">
        <v>1126</v>
      </c>
      <c r="M210" s="26"/>
    </row>
    <row r="211" spans="1:13" x14ac:dyDescent="0.3">
      <c r="A211" s="25">
        <v>46100</v>
      </c>
      <c r="B211" s="27">
        <v>104674.24000000001</v>
      </c>
      <c r="C211" s="26"/>
      <c r="D211" s="26" t="s">
        <v>401</v>
      </c>
      <c r="E211" s="25">
        <v>46100</v>
      </c>
      <c r="F211" s="26"/>
      <c r="G211" s="27">
        <v>104674.24000000001</v>
      </c>
      <c r="H211" s="26" t="s">
        <v>919</v>
      </c>
      <c r="I211" s="27">
        <v>0</v>
      </c>
      <c r="J211" s="26">
        <v>0</v>
      </c>
      <c r="K211" s="28" t="s">
        <v>1125</v>
      </c>
      <c r="L211" s="26" t="s">
        <v>1126</v>
      </c>
      <c r="M211" s="26"/>
    </row>
    <row r="212" spans="1:13" x14ac:dyDescent="0.3">
      <c r="A212" s="25">
        <v>46100</v>
      </c>
      <c r="B212" s="27">
        <v>195570</v>
      </c>
      <c r="C212" s="26"/>
      <c r="D212" s="26" t="s">
        <v>402</v>
      </c>
      <c r="E212" s="25">
        <v>46100</v>
      </c>
      <c r="F212" s="26"/>
      <c r="G212" s="27">
        <v>195570</v>
      </c>
      <c r="H212" s="26" t="s">
        <v>918</v>
      </c>
      <c r="I212" s="27">
        <v>0</v>
      </c>
      <c r="J212" s="26">
        <v>0</v>
      </c>
      <c r="K212" s="28" t="s">
        <v>1125</v>
      </c>
      <c r="L212" s="26" t="s">
        <v>1126</v>
      </c>
      <c r="M212" s="26"/>
    </row>
    <row r="213" spans="1:13" x14ac:dyDescent="0.3">
      <c r="A213" s="25">
        <v>46100</v>
      </c>
      <c r="B213" s="27">
        <v>181720</v>
      </c>
      <c r="C213" s="26"/>
      <c r="D213" s="26" t="s">
        <v>403</v>
      </c>
      <c r="E213" s="25">
        <v>46100</v>
      </c>
      <c r="F213" s="26"/>
      <c r="G213" s="27">
        <v>181720</v>
      </c>
      <c r="H213" s="26" t="s">
        <v>920</v>
      </c>
      <c r="I213" s="27">
        <v>0</v>
      </c>
      <c r="J213" s="26">
        <v>0</v>
      </c>
      <c r="K213" s="28" t="s">
        <v>1125</v>
      </c>
      <c r="L213" s="26" t="s">
        <v>1126</v>
      </c>
      <c r="M213" s="26"/>
    </row>
    <row r="214" spans="1:13" x14ac:dyDescent="0.3">
      <c r="A214" s="25">
        <v>46100</v>
      </c>
      <c r="B214" s="27">
        <v>3623449.92</v>
      </c>
      <c r="C214" s="26"/>
      <c r="D214" s="26" t="s">
        <v>404</v>
      </c>
      <c r="E214" s="25">
        <v>46100</v>
      </c>
      <c r="F214" s="26"/>
      <c r="G214" s="27">
        <v>3623449.92</v>
      </c>
      <c r="H214" s="26" t="s">
        <v>921</v>
      </c>
      <c r="I214" s="27">
        <v>0</v>
      </c>
      <c r="J214" s="26">
        <v>0</v>
      </c>
      <c r="K214" s="28" t="s">
        <v>1125</v>
      </c>
      <c r="L214" s="26" t="s">
        <v>1126</v>
      </c>
      <c r="M214" s="26"/>
    </row>
    <row r="215" spans="1:13" x14ac:dyDescent="0.3">
      <c r="A215" s="25">
        <v>46100</v>
      </c>
      <c r="B215" s="26"/>
      <c r="C215" s="27">
        <v>64102.9</v>
      </c>
      <c r="D215" s="26" t="s">
        <v>405</v>
      </c>
      <c r="E215" s="25">
        <v>46100</v>
      </c>
      <c r="F215" s="27">
        <v>64102.9</v>
      </c>
      <c r="G215" s="26"/>
      <c r="H215" s="26" t="s">
        <v>922</v>
      </c>
      <c r="I215" s="27">
        <v>0</v>
      </c>
      <c r="J215" s="26">
        <v>0</v>
      </c>
      <c r="K215" s="28" t="s">
        <v>1125</v>
      </c>
      <c r="L215" s="26" t="s">
        <v>1126</v>
      </c>
      <c r="M215" s="26"/>
    </row>
    <row r="216" spans="1:13" x14ac:dyDescent="0.3">
      <c r="A216" s="25">
        <v>46100</v>
      </c>
      <c r="B216" s="26"/>
      <c r="C216" s="27">
        <v>10794.93</v>
      </c>
      <c r="D216" s="26" t="s">
        <v>406</v>
      </c>
      <c r="E216" s="25">
        <v>46100</v>
      </c>
      <c r="F216" s="27">
        <v>10794.93</v>
      </c>
      <c r="G216" s="26"/>
      <c r="H216" s="26" t="s">
        <v>924</v>
      </c>
      <c r="I216" s="27">
        <v>0</v>
      </c>
      <c r="J216" s="26">
        <v>0</v>
      </c>
      <c r="K216" s="28" t="s">
        <v>1125</v>
      </c>
      <c r="L216" s="26" t="s">
        <v>1126</v>
      </c>
      <c r="M216" s="26"/>
    </row>
    <row r="217" spans="1:13" x14ac:dyDescent="0.3">
      <c r="A217" s="25">
        <v>46100</v>
      </c>
      <c r="B217" s="26"/>
      <c r="C217" s="27">
        <v>302007</v>
      </c>
      <c r="D217" s="26" t="s">
        <v>407</v>
      </c>
      <c r="E217" s="25">
        <v>46100</v>
      </c>
      <c r="F217" s="27">
        <v>302007</v>
      </c>
      <c r="G217" s="26"/>
      <c r="H217" s="26" t="s">
        <v>926</v>
      </c>
      <c r="I217" s="27">
        <v>0</v>
      </c>
      <c r="J217" s="26">
        <v>0</v>
      </c>
      <c r="K217" s="28" t="s">
        <v>1125</v>
      </c>
      <c r="L217" s="26" t="s">
        <v>1126</v>
      </c>
      <c r="M217" s="26"/>
    </row>
    <row r="218" spans="1:13" x14ac:dyDescent="0.3">
      <c r="A218" s="25">
        <v>46100</v>
      </c>
      <c r="B218" s="26"/>
      <c r="C218" s="27">
        <v>4261383.5199999996</v>
      </c>
      <c r="D218" s="26" t="s">
        <v>408</v>
      </c>
      <c r="E218" s="25">
        <v>46100</v>
      </c>
      <c r="F218" s="27">
        <v>4261383.5199999996</v>
      </c>
      <c r="G218" s="26"/>
      <c r="H218" s="26" t="s">
        <v>928</v>
      </c>
      <c r="I218" s="27">
        <v>0</v>
      </c>
      <c r="J218" s="26">
        <v>0</v>
      </c>
      <c r="K218" s="28" t="s">
        <v>1125</v>
      </c>
      <c r="L218" s="26" t="s">
        <v>1126</v>
      </c>
      <c r="M218" s="26"/>
    </row>
    <row r="219" spans="1:13" x14ac:dyDescent="0.3">
      <c r="A219" s="25">
        <v>46100</v>
      </c>
      <c r="B219" s="26"/>
      <c r="C219" s="27">
        <v>36568.519999999997</v>
      </c>
      <c r="D219" s="26" t="s">
        <v>409</v>
      </c>
      <c r="E219" s="25">
        <v>46100</v>
      </c>
      <c r="F219" s="27">
        <v>36568.519999999997</v>
      </c>
      <c r="G219" s="26"/>
      <c r="H219" s="26" t="s">
        <v>930</v>
      </c>
      <c r="I219" s="27">
        <v>0</v>
      </c>
      <c r="J219" s="26">
        <v>0</v>
      </c>
      <c r="K219" s="28" t="s">
        <v>1125</v>
      </c>
      <c r="L219" s="26" t="s">
        <v>1126</v>
      </c>
      <c r="M219" s="26"/>
    </row>
    <row r="220" spans="1:13" x14ac:dyDescent="0.3">
      <c r="A220" s="25">
        <v>46101</v>
      </c>
      <c r="B220" s="26"/>
      <c r="C220" s="27">
        <v>163099.23000000001</v>
      </c>
      <c r="D220" s="26" t="s">
        <v>421</v>
      </c>
      <c r="E220" s="25">
        <v>46101</v>
      </c>
      <c r="F220" s="27">
        <v>163099.23000000001</v>
      </c>
      <c r="G220" s="26"/>
      <c r="H220" s="26" t="s">
        <v>947</v>
      </c>
      <c r="I220" s="27">
        <v>0</v>
      </c>
      <c r="J220" s="26">
        <v>0</v>
      </c>
      <c r="K220" s="28" t="s">
        <v>1125</v>
      </c>
      <c r="L220" s="26" t="s">
        <v>1126</v>
      </c>
      <c r="M220" s="26"/>
    </row>
    <row r="221" spans="1:13" x14ac:dyDescent="0.3">
      <c r="A221" s="25">
        <v>46101</v>
      </c>
      <c r="B221" s="27">
        <v>851420.4</v>
      </c>
      <c r="C221" s="26"/>
      <c r="D221" s="26" t="s">
        <v>422</v>
      </c>
      <c r="E221" s="25">
        <v>46101</v>
      </c>
      <c r="F221" s="26"/>
      <c r="G221" s="27">
        <v>851420.4</v>
      </c>
      <c r="H221" s="26" t="s">
        <v>934</v>
      </c>
      <c r="I221" s="27">
        <v>0</v>
      </c>
      <c r="J221" s="26">
        <v>0</v>
      </c>
      <c r="K221" s="28" t="s">
        <v>1125</v>
      </c>
      <c r="L221" s="26" t="s">
        <v>1126</v>
      </c>
      <c r="M221" s="26"/>
    </row>
    <row r="222" spans="1:13" x14ac:dyDescent="0.3">
      <c r="A222" s="25">
        <v>46101</v>
      </c>
      <c r="B222" s="27">
        <v>538393.30000000005</v>
      </c>
      <c r="C222" s="26"/>
      <c r="D222" s="26" t="s">
        <v>423</v>
      </c>
      <c r="E222" s="25">
        <v>46101</v>
      </c>
      <c r="F222" s="26"/>
      <c r="G222" s="27">
        <v>538393.30000000005</v>
      </c>
      <c r="H222" s="26" t="s">
        <v>933</v>
      </c>
      <c r="I222" s="27">
        <v>0</v>
      </c>
      <c r="J222" s="26">
        <v>0</v>
      </c>
      <c r="K222" s="28" t="s">
        <v>1125</v>
      </c>
      <c r="L222" s="26" t="s">
        <v>1126</v>
      </c>
      <c r="M222" s="26"/>
    </row>
    <row r="223" spans="1:13" x14ac:dyDescent="0.3">
      <c r="A223" s="25">
        <v>46101</v>
      </c>
      <c r="B223" s="26"/>
      <c r="C223" s="27">
        <v>717.75</v>
      </c>
      <c r="D223" s="26" t="s">
        <v>424</v>
      </c>
      <c r="E223" s="25">
        <v>46101</v>
      </c>
      <c r="F223" s="27">
        <v>717.75</v>
      </c>
      <c r="G223" s="26"/>
      <c r="H223" s="26" t="s">
        <v>935</v>
      </c>
      <c r="I223" s="27">
        <v>0</v>
      </c>
      <c r="J223" s="26">
        <v>0</v>
      </c>
      <c r="K223" s="28" t="s">
        <v>1125</v>
      </c>
      <c r="L223" s="26" t="s">
        <v>1126</v>
      </c>
      <c r="M223" s="26"/>
    </row>
    <row r="224" spans="1:13" x14ac:dyDescent="0.3">
      <c r="A224" s="25">
        <v>46101</v>
      </c>
      <c r="B224" s="26"/>
      <c r="C224" s="27">
        <v>25222.41</v>
      </c>
      <c r="D224" s="26" t="s">
        <v>425</v>
      </c>
      <c r="E224" s="25">
        <v>46101</v>
      </c>
      <c r="F224" s="27">
        <v>25222.41</v>
      </c>
      <c r="G224" s="26"/>
      <c r="H224" s="26" t="s">
        <v>947</v>
      </c>
      <c r="I224" s="27">
        <v>0</v>
      </c>
      <c r="J224" s="26">
        <v>0</v>
      </c>
      <c r="K224" s="28" t="s">
        <v>1125</v>
      </c>
      <c r="L224" s="26" t="s">
        <v>1126</v>
      </c>
      <c r="M224" s="26"/>
    </row>
    <row r="225" spans="1:13" x14ac:dyDescent="0.3">
      <c r="A225" s="25">
        <v>46101</v>
      </c>
      <c r="B225" s="26"/>
      <c r="C225" s="27">
        <v>145483.63</v>
      </c>
      <c r="D225" s="26" t="s">
        <v>426</v>
      </c>
      <c r="E225" s="25">
        <v>46101</v>
      </c>
      <c r="F225" s="27">
        <v>145483.63</v>
      </c>
      <c r="G225" s="26"/>
      <c r="H225" s="26" t="s">
        <v>938</v>
      </c>
      <c r="I225" s="27">
        <v>0</v>
      </c>
      <c r="J225" s="26">
        <v>0</v>
      </c>
      <c r="K225" s="28" t="s">
        <v>1125</v>
      </c>
      <c r="L225" s="26" t="s">
        <v>1126</v>
      </c>
      <c r="M225" s="26"/>
    </row>
    <row r="226" spans="1:13" x14ac:dyDescent="0.3">
      <c r="A226" s="25">
        <v>46101</v>
      </c>
      <c r="B226" s="26"/>
      <c r="C226" s="27">
        <v>4000000</v>
      </c>
      <c r="D226" s="26" t="s">
        <v>427</v>
      </c>
      <c r="E226" s="25">
        <v>46101</v>
      </c>
      <c r="F226" s="27">
        <v>4000000</v>
      </c>
      <c r="G226" s="26"/>
      <c r="H226" s="26" t="s">
        <v>937</v>
      </c>
      <c r="I226" s="27">
        <v>0</v>
      </c>
      <c r="J226" s="26">
        <v>0</v>
      </c>
      <c r="K226" s="28" t="s">
        <v>1125</v>
      </c>
      <c r="L226" s="26" t="s">
        <v>1126</v>
      </c>
      <c r="M226" s="26"/>
    </row>
    <row r="227" spans="1:13" x14ac:dyDescent="0.3">
      <c r="A227" s="25">
        <v>46101</v>
      </c>
      <c r="B227" s="26"/>
      <c r="C227" s="27">
        <v>309276</v>
      </c>
      <c r="D227" s="26" t="s">
        <v>428</v>
      </c>
      <c r="E227" s="25">
        <v>46101</v>
      </c>
      <c r="F227" s="27">
        <v>309276</v>
      </c>
      <c r="G227" s="26"/>
      <c r="H227" s="26" t="s">
        <v>940</v>
      </c>
      <c r="I227" s="27">
        <v>0</v>
      </c>
      <c r="J227" s="26">
        <v>0</v>
      </c>
      <c r="K227" s="28" t="s">
        <v>1125</v>
      </c>
      <c r="L227" s="26" t="s">
        <v>1126</v>
      </c>
      <c r="M227" s="26"/>
    </row>
    <row r="228" spans="1:13" x14ac:dyDescent="0.3">
      <c r="A228" s="25">
        <v>46101</v>
      </c>
      <c r="B228" s="26"/>
      <c r="C228" s="27">
        <v>140030.04</v>
      </c>
      <c r="D228" s="26" t="s">
        <v>429</v>
      </c>
      <c r="E228" s="25">
        <v>46101</v>
      </c>
      <c r="F228" s="27">
        <v>140030.04</v>
      </c>
      <c r="G228" s="26"/>
      <c r="H228" s="26" t="s">
        <v>942</v>
      </c>
      <c r="I228" s="27">
        <v>0</v>
      </c>
      <c r="J228" s="26">
        <v>0</v>
      </c>
      <c r="K228" s="28" t="s">
        <v>1125</v>
      </c>
      <c r="L228" s="26" t="s">
        <v>1126</v>
      </c>
      <c r="M228" s="26"/>
    </row>
    <row r="229" spans="1:13" x14ac:dyDescent="0.3">
      <c r="A229" s="25">
        <v>46101</v>
      </c>
      <c r="B229" s="26"/>
      <c r="C229" s="27">
        <v>167919.12</v>
      </c>
      <c r="D229" s="26" t="s">
        <v>430</v>
      </c>
      <c r="E229" s="25">
        <v>46101</v>
      </c>
      <c r="F229" s="27">
        <v>167919.12</v>
      </c>
      <c r="G229" s="26"/>
      <c r="H229" s="26" t="s">
        <v>944</v>
      </c>
      <c r="I229" s="27">
        <v>0</v>
      </c>
      <c r="J229" s="26">
        <v>0</v>
      </c>
      <c r="K229" s="28" t="s">
        <v>1125</v>
      </c>
      <c r="L229" s="26" t="s">
        <v>1126</v>
      </c>
      <c r="M229" s="26"/>
    </row>
    <row r="230" spans="1:13" x14ac:dyDescent="0.3">
      <c r="A230" s="25">
        <v>46101</v>
      </c>
      <c r="B230" s="27">
        <v>3000000</v>
      </c>
      <c r="C230" s="26"/>
      <c r="D230" s="26" t="s">
        <v>431</v>
      </c>
      <c r="E230" s="25">
        <v>46101</v>
      </c>
      <c r="F230" s="26"/>
      <c r="G230" s="27">
        <v>3000000</v>
      </c>
      <c r="H230" s="26" t="s">
        <v>946</v>
      </c>
      <c r="I230" s="27">
        <v>0</v>
      </c>
      <c r="J230" s="26">
        <v>0</v>
      </c>
      <c r="K230" s="28" t="s">
        <v>1125</v>
      </c>
      <c r="L230" s="26" t="s">
        <v>1126</v>
      </c>
      <c r="M230" s="26"/>
    </row>
    <row r="231" spans="1:13" x14ac:dyDescent="0.3">
      <c r="A231" s="25">
        <v>46101</v>
      </c>
      <c r="B231" s="26"/>
      <c r="C231" s="27">
        <v>2489256.2999999998</v>
      </c>
      <c r="D231" s="26" t="s">
        <v>432</v>
      </c>
      <c r="E231" s="25">
        <v>46101</v>
      </c>
      <c r="F231" s="27">
        <v>2489256.2999999998</v>
      </c>
      <c r="G231" s="26"/>
      <c r="H231" s="26" t="s">
        <v>952</v>
      </c>
      <c r="I231" s="27">
        <v>0</v>
      </c>
      <c r="J231" s="26">
        <v>0</v>
      </c>
      <c r="K231" s="28" t="s">
        <v>1125</v>
      </c>
      <c r="L231" s="26" t="s">
        <v>1126</v>
      </c>
      <c r="M231" s="26"/>
    </row>
    <row r="232" spans="1:13" x14ac:dyDescent="0.3">
      <c r="A232" s="25">
        <v>46101</v>
      </c>
      <c r="B232" s="26"/>
      <c r="C232" s="27">
        <v>1836790.52</v>
      </c>
      <c r="D232" s="26" t="s">
        <v>433</v>
      </c>
      <c r="E232" s="25">
        <v>46101</v>
      </c>
      <c r="F232" s="27">
        <v>1836790.52</v>
      </c>
      <c r="G232" s="26"/>
      <c r="H232" s="26" t="s">
        <v>950</v>
      </c>
      <c r="I232" s="27">
        <v>0</v>
      </c>
      <c r="J232" s="26">
        <v>0</v>
      </c>
      <c r="K232" s="28" t="s">
        <v>1125</v>
      </c>
      <c r="L232" s="26" t="s">
        <v>1126</v>
      </c>
      <c r="M232" s="26"/>
    </row>
    <row r="233" spans="1:13" x14ac:dyDescent="0.3">
      <c r="A233" s="25">
        <v>46101</v>
      </c>
      <c r="B233" s="26"/>
      <c r="C233" s="27">
        <v>1233857.6200000001</v>
      </c>
      <c r="D233" s="26" t="s">
        <v>434</v>
      </c>
      <c r="E233" s="25">
        <v>46101</v>
      </c>
      <c r="F233" s="27">
        <v>1233857.6200000001</v>
      </c>
      <c r="G233" s="26"/>
      <c r="H233" s="26" t="s">
        <v>948</v>
      </c>
      <c r="I233" s="27">
        <v>0</v>
      </c>
      <c r="J233" s="26">
        <v>0</v>
      </c>
      <c r="K233" s="28" t="s">
        <v>1125</v>
      </c>
      <c r="L233" s="26" t="s">
        <v>1126</v>
      </c>
      <c r="M233" s="26"/>
    </row>
    <row r="234" spans="1:13" x14ac:dyDescent="0.3">
      <c r="A234" s="25">
        <v>46104</v>
      </c>
      <c r="B234" s="26"/>
      <c r="C234" s="27">
        <v>89720.88</v>
      </c>
      <c r="D234" s="26" t="s">
        <v>437</v>
      </c>
      <c r="E234" s="25">
        <v>46104</v>
      </c>
      <c r="F234" s="27">
        <v>89720.88</v>
      </c>
      <c r="G234" s="26"/>
      <c r="H234" s="26" t="s">
        <v>954</v>
      </c>
      <c r="I234" s="27">
        <v>0</v>
      </c>
      <c r="J234" s="26">
        <v>0</v>
      </c>
      <c r="K234" s="28" t="s">
        <v>1125</v>
      </c>
      <c r="L234" s="26" t="s">
        <v>1126</v>
      </c>
      <c r="M234" s="26"/>
    </row>
    <row r="235" spans="1:13" x14ac:dyDescent="0.3">
      <c r="A235" s="25">
        <v>46104</v>
      </c>
      <c r="B235" s="26"/>
      <c r="C235" s="27">
        <v>90764.52</v>
      </c>
      <c r="D235" s="26" t="s">
        <v>438</v>
      </c>
      <c r="E235" s="25">
        <v>46104</v>
      </c>
      <c r="F235" s="27">
        <v>90764.52</v>
      </c>
      <c r="G235" s="26"/>
      <c r="H235" s="26" t="s">
        <v>958</v>
      </c>
      <c r="I235" s="27">
        <v>0</v>
      </c>
      <c r="J235" s="26">
        <v>0</v>
      </c>
      <c r="K235" s="28" t="s">
        <v>1125</v>
      </c>
      <c r="L235" s="26" t="s">
        <v>1126</v>
      </c>
      <c r="M235" s="26"/>
    </row>
    <row r="236" spans="1:13" x14ac:dyDescent="0.3">
      <c r="A236" s="25">
        <v>46105</v>
      </c>
      <c r="B236" s="26"/>
      <c r="C236" s="27">
        <v>13316.45</v>
      </c>
      <c r="D236" s="26" t="s">
        <v>439</v>
      </c>
      <c r="E236" s="25">
        <v>46105</v>
      </c>
      <c r="F236" s="27">
        <v>13316.45</v>
      </c>
      <c r="G236" s="26"/>
      <c r="H236" s="26" t="s">
        <v>960</v>
      </c>
      <c r="I236" s="27">
        <v>0</v>
      </c>
      <c r="J236" s="26">
        <v>0</v>
      </c>
      <c r="K236" s="28" t="s">
        <v>1125</v>
      </c>
      <c r="L236" s="26" t="s">
        <v>1126</v>
      </c>
      <c r="M236" s="26"/>
    </row>
    <row r="237" spans="1:13" x14ac:dyDescent="0.3">
      <c r="A237" s="25">
        <v>46106</v>
      </c>
      <c r="B237" s="27">
        <v>13737.76</v>
      </c>
      <c r="C237" s="26"/>
      <c r="D237" s="26" t="s">
        <v>440</v>
      </c>
      <c r="E237" s="25">
        <v>46106</v>
      </c>
      <c r="F237" s="26"/>
      <c r="G237" s="27">
        <v>13737.76</v>
      </c>
      <c r="H237" s="26" t="s">
        <v>991</v>
      </c>
      <c r="I237" s="27">
        <v>0</v>
      </c>
      <c r="J237" s="26">
        <v>0</v>
      </c>
      <c r="K237" s="28" t="s">
        <v>1125</v>
      </c>
      <c r="L237" s="26" t="s">
        <v>1126</v>
      </c>
      <c r="M237" s="26"/>
    </row>
    <row r="238" spans="1:13" x14ac:dyDescent="0.3">
      <c r="A238" s="25">
        <v>46106</v>
      </c>
      <c r="B238" s="26"/>
      <c r="C238" s="27">
        <v>1000000</v>
      </c>
      <c r="D238" s="26" t="s">
        <v>441</v>
      </c>
      <c r="E238" s="25">
        <v>46106</v>
      </c>
      <c r="F238" s="27">
        <v>1000000</v>
      </c>
      <c r="G238" s="26"/>
      <c r="H238" s="26" t="s">
        <v>978</v>
      </c>
      <c r="I238" s="27">
        <v>0</v>
      </c>
      <c r="J238" s="26">
        <v>0</v>
      </c>
      <c r="K238" s="28" t="s">
        <v>1125</v>
      </c>
      <c r="L238" s="26" t="s">
        <v>1126</v>
      </c>
      <c r="M238" s="26"/>
    </row>
    <row r="239" spans="1:13" x14ac:dyDescent="0.3">
      <c r="A239" s="25">
        <v>46106</v>
      </c>
      <c r="B239" s="26"/>
      <c r="C239" s="27">
        <v>163226.26</v>
      </c>
      <c r="D239" s="26" t="s">
        <v>442</v>
      </c>
      <c r="E239" s="25">
        <v>46106</v>
      </c>
      <c r="F239" s="27">
        <v>163226.26</v>
      </c>
      <c r="G239" s="26"/>
      <c r="H239" s="26" t="s">
        <v>970</v>
      </c>
      <c r="I239" s="27">
        <v>0</v>
      </c>
      <c r="J239" s="26">
        <v>0</v>
      </c>
      <c r="K239" s="28" t="s">
        <v>1125</v>
      </c>
      <c r="L239" s="26" t="s">
        <v>1126</v>
      </c>
      <c r="M239" s="26"/>
    </row>
    <row r="240" spans="1:13" x14ac:dyDescent="0.3">
      <c r="A240" s="25">
        <v>46106</v>
      </c>
      <c r="B240" s="26"/>
      <c r="C240" s="27">
        <v>199383.29</v>
      </c>
      <c r="D240" s="26" t="s">
        <v>443</v>
      </c>
      <c r="E240" s="25">
        <v>46106</v>
      </c>
      <c r="F240" s="27">
        <v>199383.29</v>
      </c>
      <c r="G240" s="26"/>
      <c r="H240" s="26" t="s">
        <v>972</v>
      </c>
      <c r="I240" s="27">
        <v>0</v>
      </c>
      <c r="J240" s="26">
        <v>0</v>
      </c>
      <c r="K240" s="28" t="s">
        <v>1125</v>
      </c>
      <c r="L240" s="26" t="s">
        <v>1126</v>
      </c>
      <c r="M240" s="26"/>
    </row>
    <row r="241" spans="1:13" x14ac:dyDescent="0.3">
      <c r="A241" s="25">
        <v>46106</v>
      </c>
      <c r="B241" s="26"/>
      <c r="C241" s="27">
        <v>6000000</v>
      </c>
      <c r="D241" s="26" t="s">
        <v>444</v>
      </c>
      <c r="E241" s="25">
        <v>46106</v>
      </c>
      <c r="F241" s="27">
        <v>6000000</v>
      </c>
      <c r="G241" s="26"/>
      <c r="H241" s="26" t="s">
        <v>979</v>
      </c>
      <c r="I241" s="27">
        <v>0</v>
      </c>
      <c r="J241" s="26">
        <v>0</v>
      </c>
      <c r="K241" s="28" t="s">
        <v>1125</v>
      </c>
      <c r="L241" s="26" t="s">
        <v>1126</v>
      </c>
      <c r="M241" s="26"/>
    </row>
    <row r="242" spans="1:13" x14ac:dyDescent="0.3">
      <c r="A242" s="25">
        <v>46106</v>
      </c>
      <c r="B242" s="27">
        <v>250092.5</v>
      </c>
      <c r="C242" s="26"/>
      <c r="D242" s="26" t="s">
        <v>445</v>
      </c>
      <c r="E242" s="25">
        <v>46106</v>
      </c>
      <c r="F242" s="26"/>
      <c r="G242" s="27">
        <v>250092.5</v>
      </c>
      <c r="H242" s="26" t="s">
        <v>968</v>
      </c>
      <c r="I242" s="27">
        <v>0</v>
      </c>
      <c r="J242" s="26">
        <v>0</v>
      </c>
      <c r="K242" s="28" t="s">
        <v>1125</v>
      </c>
      <c r="L242" s="26" t="s">
        <v>1126</v>
      </c>
      <c r="M242" s="26"/>
    </row>
    <row r="243" spans="1:13" x14ac:dyDescent="0.3">
      <c r="A243" s="25">
        <v>46106</v>
      </c>
      <c r="B243" s="27">
        <v>117854.59</v>
      </c>
      <c r="C243" s="26"/>
      <c r="D243" s="26" t="s">
        <v>446</v>
      </c>
      <c r="E243" s="25">
        <v>46106</v>
      </c>
      <c r="F243" s="26"/>
      <c r="G243" s="27">
        <v>117854.59</v>
      </c>
      <c r="H243" s="26" t="s">
        <v>967</v>
      </c>
      <c r="I243" s="27">
        <v>0</v>
      </c>
      <c r="J243" s="26">
        <v>0</v>
      </c>
      <c r="K243" s="28" t="s">
        <v>1125</v>
      </c>
      <c r="L243" s="26" t="s">
        <v>1126</v>
      </c>
      <c r="M243" s="26"/>
    </row>
    <row r="244" spans="1:13" x14ac:dyDescent="0.3">
      <c r="A244" s="25">
        <v>46106</v>
      </c>
      <c r="B244" s="27">
        <v>4108378.73</v>
      </c>
      <c r="C244" s="26"/>
      <c r="D244" s="26" t="s">
        <v>447</v>
      </c>
      <c r="E244" s="25">
        <v>46106</v>
      </c>
      <c r="F244" s="26"/>
      <c r="G244" s="27">
        <v>4108378.73</v>
      </c>
      <c r="H244" s="26" t="s">
        <v>975</v>
      </c>
      <c r="I244" s="27">
        <v>0</v>
      </c>
      <c r="J244" s="26">
        <v>0</v>
      </c>
      <c r="K244" s="28" t="s">
        <v>1125</v>
      </c>
      <c r="L244" s="26" t="s">
        <v>1126</v>
      </c>
      <c r="M244" s="26"/>
    </row>
    <row r="245" spans="1:13" x14ac:dyDescent="0.3">
      <c r="A245" s="25">
        <v>46106</v>
      </c>
      <c r="B245" s="27">
        <v>63907.44</v>
      </c>
      <c r="C245" s="26"/>
      <c r="D245" s="26" t="s">
        <v>448</v>
      </c>
      <c r="E245" s="25">
        <v>46106</v>
      </c>
      <c r="F245" s="26"/>
      <c r="G245" s="27">
        <v>63907.44</v>
      </c>
      <c r="H245" s="26" t="s">
        <v>966</v>
      </c>
      <c r="I245" s="27">
        <v>0</v>
      </c>
      <c r="J245" s="26">
        <v>0</v>
      </c>
      <c r="K245" s="28" t="s">
        <v>1125</v>
      </c>
      <c r="L245" s="26" t="s">
        <v>1126</v>
      </c>
      <c r="M245" s="26"/>
    </row>
    <row r="246" spans="1:13" x14ac:dyDescent="0.3">
      <c r="A246" s="25">
        <v>46106</v>
      </c>
      <c r="B246" s="27">
        <v>810669.2</v>
      </c>
      <c r="C246" s="26"/>
      <c r="D246" s="26" t="s">
        <v>449</v>
      </c>
      <c r="E246" s="25">
        <v>46106</v>
      </c>
      <c r="F246" s="26"/>
      <c r="G246" s="27">
        <v>810669.2</v>
      </c>
      <c r="H246" s="26" t="s">
        <v>965</v>
      </c>
      <c r="I246" s="27">
        <v>0</v>
      </c>
      <c r="J246" s="26">
        <v>0</v>
      </c>
      <c r="K246" s="28" t="s">
        <v>1125</v>
      </c>
      <c r="L246" s="26" t="s">
        <v>1126</v>
      </c>
      <c r="M246" s="26"/>
    </row>
    <row r="247" spans="1:13" x14ac:dyDescent="0.3">
      <c r="A247" s="25">
        <v>46106</v>
      </c>
      <c r="B247" s="27">
        <v>1536141.96</v>
      </c>
      <c r="C247" s="26"/>
      <c r="D247" s="26" t="s">
        <v>450</v>
      </c>
      <c r="E247" s="25">
        <v>46106</v>
      </c>
      <c r="F247" s="26"/>
      <c r="G247" s="27">
        <v>1536141.96</v>
      </c>
      <c r="H247" s="26" t="s">
        <v>964</v>
      </c>
      <c r="I247" s="27">
        <v>0</v>
      </c>
      <c r="J247" s="26">
        <v>0</v>
      </c>
      <c r="K247" s="28" t="s">
        <v>1125</v>
      </c>
      <c r="L247" s="26" t="s">
        <v>1126</v>
      </c>
      <c r="M247" s="26"/>
    </row>
    <row r="248" spans="1:13" x14ac:dyDescent="0.3">
      <c r="A248" s="25">
        <v>46106</v>
      </c>
      <c r="B248" s="27">
        <v>386428.77</v>
      </c>
      <c r="C248" s="26"/>
      <c r="D248" s="26" t="s">
        <v>451</v>
      </c>
      <c r="E248" s="25">
        <v>46106</v>
      </c>
      <c r="F248" s="26"/>
      <c r="G248" s="27">
        <v>386428.77</v>
      </c>
      <c r="H248" s="26" t="s">
        <v>963</v>
      </c>
      <c r="I248" s="27">
        <v>0</v>
      </c>
      <c r="J248" s="26">
        <v>0</v>
      </c>
      <c r="K248" s="28" t="s">
        <v>1125</v>
      </c>
      <c r="L248" s="26" t="s">
        <v>1126</v>
      </c>
      <c r="M248" s="26"/>
    </row>
    <row r="249" spans="1:13" x14ac:dyDescent="0.3">
      <c r="A249" s="25">
        <v>46106</v>
      </c>
      <c r="B249" s="27">
        <v>1006489.17</v>
      </c>
      <c r="C249" s="26"/>
      <c r="D249" s="26" t="s">
        <v>452</v>
      </c>
      <c r="E249" s="25">
        <v>46106</v>
      </c>
      <c r="F249" s="26"/>
      <c r="G249" s="27">
        <v>1006489.17</v>
      </c>
      <c r="H249" s="26" t="s">
        <v>962</v>
      </c>
      <c r="I249" s="27">
        <v>0</v>
      </c>
      <c r="J249" s="26">
        <v>0</v>
      </c>
      <c r="K249" s="28" t="s">
        <v>1125</v>
      </c>
      <c r="L249" s="26" t="s">
        <v>1126</v>
      </c>
      <c r="M249" s="26"/>
    </row>
    <row r="250" spans="1:13" x14ac:dyDescent="0.3">
      <c r="A250" s="25">
        <v>46106</v>
      </c>
      <c r="B250" s="27">
        <v>52889.1</v>
      </c>
      <c r="C250" s="26"/>
      <c r="D250" s="26" t="s">
        <v>453</v>
      </c>
      <c r="E250" s="25">
        <v>46106</v>
      </c>
      <c r="F250" s="26"/>
      <c r="G250" s="27">
        <v>52889.1</v>
      </c>
      <c r="H250" s="26" t="s">
        <v>974</v>
      </c>
      <c r="I250" s="27">
        <v>0</v>
      </c>
      <c r="J250" s="26">
        <v>0</v>
      </c>
      <c r="K250" s="28" t="s">
        <v>1125</v>
      </c>
      <c r="L250" s="26" t="s">
        <v>1126</v>
      </c>
      <c r="M250" s="26"/>
    </row>
    <row r="251" spans="1:13" x14ac:dyDescent="0.3">
      <c r="A251" s="25">
        <v>46106</v>
      </c>
      <c r="B251" s="27">
        <v>259806.86</v>
      </c>
      <c r="C251" s="26"/>
      <c r="D251" s="26" t="s">
        <v>454</v>
      </c>
      <c r="E251" s="25">
        <v>46106</v>
      </c>
      <c r="F251" s="26"/>
      <c r="G251" s="27">
        <v>259806.86</v>
      </c>
      <c r="H251" s="26" t="s">
        <v>969</v>
      </c>
      <c r="I251" s="27">
        <v>0</v>
      </c>
      <c r="J251" s="26">
        <v>0</v>
      </c>
      <c r="K251" s="28" t="s">
        <v>1125</v>
      </c>
      <c r="L251" s="26" t="s">
        <v>1126</v>
      </c>
      <c r="M251" s="26"/>
    </row>
    <row r="252" spans="1:13" x14ac:dyDescent="0.3">
      <c r="A252" s="25">
        <v>46106</v>
      </c>
      <c r="B252" s="27">
        <v>253421.8</v>
      </c>
      <c r="C252" s="26"/>
      <c r="D252" s="26" t="s">
        <v>455</v>
      </c>
      <c r="E252" s="25">
        <v>46106</v>
      </c>
      <c r="F252" s="26"/>
      <c r="G252" s="27">
        <v>253421.8</v>
      </c>
      <c r="H252" s="26" t="s">
        <v>977</v>
      </c>
      <c r="I252" s="27">
        <v>0</v>
      </c>
      <c r="J252" s="26">
        <v>0</v>
      </c>
      <c r="K252" s="28" t="s">
        <v>1125</v>
      </c>
      <c r="L252" s="26" t="s">
        <v>1126</v>
      </c>
      <c r="M252" s="26"/>
    </row>
    <row r="253" spans="1:13" x14ac:dyDescent="0.3">
      <c r="A253" s="25">
        <v>46106</v>
      </c>
      <c r="B253" s="27">
        <v>851000</v>
      </c>
      <c r="C253" s="26"/>
      <c r="D253" s="26" t="s">
        <v>456</v>
      </c>
      <c r="E253" s="25">
        <v>46106</v>
      </c>
      <c r="F253" s="26"/>
      <c r="G253" s="27">
        <v>851000</v>
      </c>
      <c r="H253" s="26" t="s">
        <v>976</v>
      </c>
      <c r="I253" s="27">
        <v>0</v>
      </c>
      <c r="J253" s="26">
        <v>0</v>
      </c>
      <c r="K253" s="28" t="s">
        <v>1125</v>
      </c>
      <c r="L253" s="26" t="s">
        <v>1126</v>
      </c>
      <c r="M253" s="26"/>
    </row>
    <row r="254" spans="1:13" x14ac:dyDescent="0.3">
      <c r="A254" s="25">
        <v>46106</v>
      </c>
      <c r="B254" s="26"/>
      <c r="C254" s="27">
        <v>612349.85</v>
      </c>
      <c r="D254" s="26" t="s">
        <v>457</v>
      </c>
      <c r="E254" s="25">
        <v>46106</v>
      </c>
      <c r="F254" s="27">
        <v>612349.85</v>
      </c>
      <c r="G254" s="26"/>
      <c r="H254" s="26" t="s">
        <v>980</v>
      </c>
      <c r="I254" s="27">
        <v>0</v>
      </c>
      <c r="J254" s="26">
        <v>0</v>
      </c>
      <c r="K254" s="28" t="s">
        <v>1125</v>
      </c>
      <c r="L254" s="26" t="s">
        <v>1126</v>
      </c>
      <c r="M254" s="26"/>
    </row>
    <row r="255" spans="1:13" x14ac:dyDescent="0.3">
      <c r="A255" s="25">
        <v>46106</v>
      </c>
      <c r="B255" s="27">
        <v>5000000</v>
      </c>
      <c r="C255" s="26"/>
      <c r="D255" s="26" t="s">
        <v>458</v>
      </c>
      <c r="E255" s="25">
        <v>46106</v>
      </c>
      <c r="F255" s="26"/>
      <c r="G255" s="27">
        <v>5000000</v>
      </c>
      <c r="H255" s="26" t="s">
        <v>982</v>
      </c>
      <c r="I255" s="27">
        <v>0</v>
      </c>
      <c r="J255" s="26">
        <v>0</v>
      </c>
      <c r="K255" s="28" t="s">
        <v>1125</v>
      </c>
      <c r="L255" s="26" t="s">
        <v>1126</v>
      </c>
      <c r="M255" s="26"/>
    </row>
    <row r="256" spans="1:13" x14ac:dyDescent="0.3">
      <c r="A256" s="25">
        <v>46106</v>
      </c>
      <c r="B256" s="26"/>
      <c r="C256" s="27">
        <v>774090</v>
      </c>
      <c r="D256" s="26" t="s">
        <v>459</v>
      </c>
      <c r="E256" s="25">
        <v>46106</v>
      </c>
      <c r="F256" s="27">
        <v>774090</v>
      </c>
      <c r="G256" s="26"/>
      <c r="H256" s="26" t="s">
        <v>989</v>
      </c>
      <c r="I256" s="27">
        <v>0</v>
      </c>
      <c r="J256" s="26">
        <v>0</v>
      </c>
      <c r="K256" s="28" t="s">
        <v>1125</v>
      </c>
      <c r="L256" s="26" t="s">
        <v>1126</v>
      </c>
      <c r="M256" s="26"/>
    </row>
    <row r="257" spans="1:13" x14ac:dyDescent="0.3">
      <c r="A257" s="25">
        <v>46106</v>
      </c>
      <c r="B257" s="26"/>
      <c r="C257" s="27">
        <v>552006.21</v>
      </c>
      <c r="D257" s="26" t="s">
        <v>460</v>
      </c>
      <c r="E257" s="25">
        <v>46106</v>
      </c>
      <c r="F257" s="27">
        <v>552006.21</v>
      </c>
      <c r="G257" s="26"/>
      <c r="H257" s="26" t="s">
        <v>983</v>
      </c>
      <c r="I257" s="27">
        <v>0</v>
      </c>
      <c r="J257" s="26">
        <v>0</v>
      </c>
      <c r="K257" s="28" t="s">
        <v>1125</v>
      </c>
      <c r="L257" s="26" t="s">
        <v>1126</v>
      </c>
      <c r="M257" s="26"/>
    </row>
    <row r="258" spans="1:13" x14ac:dyDescent="0.3">
      <c r="A258" s="25">
        <v>46106</v>
      </c>
      <c r="B258" s="26"/>
      <c r="C258" s="27">
        <v>20206.2</v>
      </c>
      <c r="D258" s="26" t="s">
        <v>461</v>
      </c>
      <c r="E258" s="25">
        <v>46106</v>
      </c>
      <c r="F258" s="27">
        <v>20206.2</v>
      </c>
      <c r="G258" s="26"/>
      <c r="H258" s="26" t="s">
        <v>985</v>
      </c>
      <c r="I258" s="27">
        <v>0</v>
      </c>
      <c r="J258" s="26">
        <v>0</v>
      </c>
      <c r="K258" s="28" t="s">
        <v>1125</v>
      </c>
      <c r="L258" s="26" t="s">
        <v>1126</v>
      </c>
      <c r="M258" s="26"/>
    </row>
    <row r="259" spans="1:13" x14ac:dyDescent="0.3">
      <c r="A259" s="25">
        <v>46106</v>
      </c>
      <c r="B259" s="26"/>
      <c r="C259" s="27">
        <v>314127.17</v>
      </c>
      <c r="D259" s="26" t="s">
        <v>462</v>
      </c>
      <c r="E259" s="25">
        <v>46106</v>
      </c>
      <c r="F259" s="27">
        <v>314127.17</v>
      </c>
      <c r="G259" s="26"/>
      <c r="H259" s="26" t="s">
        <v>987</v>
      </c>
      <c r="I259" s="27">
        <v>0</v>
      </c>
      <c r="J259" s="26">
        <v>0</v>
      </c>
      <c r="K259" s="28" t="s">
        <v>1125</v>
      </c>
      <c r="L259" s="26" t="s">
        <v>1126</v>
      </c>
      <c r="M259" s="26"/>
    </row>
    <row r="260" spans="1:13" x14ac:dyDescent="0.3">
      <c r="A260" s="25">
        <v>46107</v>
      </c>
      <c r="B260" s="26"/>
      <c r="C260" s="27">
        <v>765317.27</v>
      </c>
      <c r="D260" s="26" t="s">
        <v>481</v>
      </c>
      <c r="E260" s="25">
        <v>46107</v>
      </c>
      <c r="F260" s="27">
        <v>765317.27</v>
      </c>
      <c r="G260" s="26"/>
      <c r="H260" s="26" t="s">
        <v>1005</v>
      </c>
      <c r="I260" s="27">
        <v>0</v>
      </c>
      <c r="J260" s="26">
        <v>0</v>
      </c>
      <c r="K260" s="28" t="s">
        <v>1125</v>
      </c>
      <c r="L260" s="26" t="s">
        <v>1126</v>
      </c>
      <c r="M260" s="26"/>
    </row>
    <row r="261" spans="1:13" x14ac:dyDescent="0.3">
      <c r="A261" s="25">
        <v>46107</v>
      </c>
      <c r="B261" s="26"/>
      <c r="C261" s="27">
        <v>1656214.2</v>
      </c>
      <c r="D261" s="26" t="s">
        <v>482</v>
      </c>
      <c r="E261" s="25">
        <v>46107</v>
      </c>
      <c r="F261" s="27">
        <v>1656214.2</v>
      </c>
      <c r="G261" s="26"/>
      <c r="H261" s="26" t="s">
        <v>992</v>
      </c>
      <c r="I261" s="27">
        <v>0</v>
      </c>
      <c r="J261" s="26">
        <v>0</v>
      </c>
      <c r="K261" s="28" t="s">
        <v>1125</v>
      </c>
      <c r="L261" s="26" t="s">
        <v>1126</v>
      </c>
      <c r="M261" s="26"/>
    </row>
    <row r="262" spans="1:13" x14ac:dyDescent="0.3">
      <c r="A262" s="25">
        <v>46107</v>
      </c>
      <c r="B262" s="26"/>
      <c r="C262" s="27">
        <v>62431.53</v>
      </c>
      <c r="D262" s="26" t="s">
        <v>483</v>
      </c>
      <c r="E262" s="25">
        <v>46107</v>
      </c>
      <c r="F262" s="27">
        <v>62431.53</v>
      </c>
      <c r="G262" s="26"/>
      <c r="H262" s="26" t="s">
        <v>1005</v>
      </c>
      <c r="I262" s="27">
        <v>0</v>
      </c>
      <c r="J262" s="26">
        <v>0</v>
      </c>
      <c r="K262" s="28" t="s">
        <v>1125</v>
      </c>
      <c r="L262" s="26" t="s">
        <v>1126</v>
      </c>
      <c r="M262" s="26"/>
    </row>
    <row r="263" spans="1:13" x14ac:dyDescent="0.3">
      <c r="A263" s="25">
        <v>46107</v>
      </c>
      <c r="B263" s="26"/>
      <c r="C263" s="27">
        <v>7735380.5</v>
      </c>
      <c r="D263" s="26" t="s">
        <v>484</v>
      </c>
      <c r="E263" s="25">
        <v>46107</v>
      </c>
      <c r="F263" s="27">
        <v>7735380.5</v>
      </c>
      <c r="G263" s="26"/>
      <c r="H263" s="26" t="s">
        <v>994</v>
      </c>
      <c r="I263" s="27">
        <v>0</v>
      </c>
      <c r="J263" s="26">
        <v>0</v>
      </c>
      <c r="K263" s="28" t="s">
        <v>1125</v>
      </c>
      <c r="L263" s="26" t="s">
        <v>1126</v>
      </c>
      <c r="M263" s="26"/>
    </row>
    <row r="264" spans="1:13" x14ac:dyDescent="0.3">
      <c r="A264" s="25">
        <v>46107</v>
      </c>
      <c r="B264" s="26"/>
      <c r="C264" s="27">
        <v>315841.98</v>
      </c>
      <c r="D264" s="26" t="s">
        <v>485</v>
      </c>
      <c r="E264" s="25">
        <v>46107</v>
      </c>
      <c r="F264" s="27">
        <v>315841.98</v>
      </c>
      <c r="G264" s="26"/>
      <c r="H264" s="26" t="s">
        <v>997</v>
      </c>
      <c r="I264" s="27">
        <v>0</v>
      </c>
      <c r="J264" s="26">
        <v>0</v>
      </c>
      <c r="K264" s="28" t="s">
        <v>1125</v>
      </c>
      <c r="L264" s="26" t="s">
        <v>1126</v>
      </c>
      <c r="M264" s="26"/>
    </row>
    <row r="265" spans="1:13" x14ac:dyDescent="0.3">
      <c r="A265" s="25">
        <v>46107</v>
      </c>
      <c r="B265" s="27">
        <v>11000000</v>
      </c>
      <c r="C265" s="26"/>
      <c r="D265" s="26" t="s">
        <v>486</v>
      </c>
      <c r="E265" s="25">
        <v>46107</v>
      </c>
      <c r="F265" s="26"/>
      <c r="G265" s="27">
        <v>11000000</v>
      </c>
      <c r="H265" s="26" t="s">
        <v>996</v>
      </c>
      <c r="I265" s="27">
        <v>0</v>
      </c>
      <c r="J265" s="26">
        <v>0</v>
      </c>
      <c r="K265" s="28" t="s">
        <v>1125</v>
      </c>
      <c r="L265" s="26" t="s">
        <v>1126</v>
      </c>
      <c r="M265" s="26"/>
    </row>
    <row r="266" spans="1:13" x14ac:dyDescent="0.3">
      <c r="A266" s="25">
        <v>46107</v>
      </c>
      <c r="B266" s="26"/>
      <c r="C266" s="27">
        <v>183836.79999999999</v>
      </c>
      <c r="D266" s="26" t="s">
        <v>487</v>
      </c>
      <c r="E266" s="25">
        <v>46107</v>
      </c>
      <c r="F266" s="27">
        <v>183836.79999999999</v>
      </c>
      <c r="G266" s="26"/>
      <c r="H266" s="26" t="s">
        <v>1001</v>
      </c>
      <c r="I266" s="27">
        <v>0</v>
      </c>
      <c r="J266" s="26">
        <v>0</v>
      </c>
      <c r="K266" s="28" t="s">
        <v>1125</v>
      </c>
      <c r="L266" s="26" t="s">
        <v>1126</v>
      </c>
      <c r="M266" s="26"/>
    </row>
    <row r="267" spans="1:13" x14ac:dyDescent="0.3">
      <c r="A267" s="25">
        <v>46107</v>
      </c>
      <c r="B267" s="26"/>
      <c r="C267" s="27">
        <v>1067992.79</v>
      </c>
      <c r="D267" s="26" t="s">
        <v>488</v>
      </c>
      <c r="E267" s="25">
        <v>46107</v>
      </c>
      <c r="F267" s="27">
        <v>1067992.79</v>
      </c>
      <c r="G267" s="26"/>
      <c r="H267" s="26" t="s">
        <v>999</v>
      </c>
      <c r="I267" s="27">
        <v>0</v>
      </c>
      <c r="J267" s="26">
        <v>0</v>
      </c>
      <c r="K267" s="28" t="s">
        <v>1125</v>
      </c>
      <c r="L267" s="26" t="s">
        <v>1126</v>
      </c>
      <c r="M267" s="26"/>
    </row>
    <row r="268" spans="1:13" x14ac:dyDescent="0.3">
      <c r="A268" s="25">
        <v>46107</v>
      </c>
      <c r="B268" s="26"/>
      <c r="C268" s="27">
        <v>3000000</v>
      </c>
      <c r="D268" s="26" t="s">
        <v>489</v>
      </c>
      <c r="E268" s="25">
        <v>46107</v>
      </c>
      <c r="F268" s="27">
        <v>3000000</v>
      </c>
      <c r="G268" s="26"/>
      <c r="H268" s="26" t="s">
        <v>1003</v>
      </c>
      <c r="I268" s="27">
        <v>0</v>
      </c>
      <c r="J268" s="26">
        <v>0</v>
      </c>
      <c r="K268" s="28" t="s">
        <v>1125</v>
      </c>
      <c r="L268" s="26" t="s">
        <v>1126</v>
      </c>
      <c r="M268" s="26"/>
    </row>
    <row r="269" spans="1:13" x14ac:dyDescent="0.3">
      <c r="A269" s="25">
        <v>46107</v>
      </c>
      <c r="B269" s="27">
        <v>5000000</v>
      </c>
      <c r="C269" s="26"/>
      <c r="D269" s="26" t="s">
        <v>490</v>
      </c>
      <c r="E269" s="25">
        <v>46107</v>
      </c>
      <c r="F269" s="26"/>
      <c r="G269" s="27">
        <v>5000000</v>
      </c>
      <c r="H269" s="26" t="s">
        <v>1004</v>
      </c>
      <c r="I269" s="27">
        <v>0</v>
      </c>
      <c r="J269" s="26">
        <v>0</v>
      </c>
      <c r="K269" s="28" t="s">
        <v>1125</v>
      </c>
      <c r="L269" s="26" t="s">
        <v>1126</v>
      </c>
      <c r="M269" s="26"/>
    </row>
    <row r="270" spans="1:13" x14ac:dyDescent="0.3">
      <c r="A270" s="25">
        <v>46107</v>
      </c>
      <c r="B270" s="26"/>
      <c r="C270" s="27">
        <v>116041.9</v>
      </c>
      <c r="D270" s="26" t="s">
        <v>491</v>
      </c>
      <c r="E270" s="25">
        <v>46107</v>
      </c>
      <c r="F270" s="27">
        <v>116041.9</v>
      </c>
      <c r="G270" s="26"/>
      <c r="H270" s="26" t="s">
        <v>1006</v>
      </c>
      <c r="I270" s="27">
        <v>0</v>
      </c>
      <c r="J270" s="26">
        <v>0</v>
      </c>
      <c r="K270" s="28" t="s">
        <v>1125</v>
      </c>
      <c r="L270" s="26" t="s">
        <v>1126</v>
      </c>
      <c r="M270" s="26"/>
    </row>
    <row r="271" spans="1:13" x14ac:dyDescent="0.3">
      <c r="A271" s="25">
        <v>46108</v>
      </c>
      <c r="B271" s="26"/>
      <c r="C271" s="27">
        <v>1122853.3500000001</v>
      </c>
      <c r="D271" s="26" t="s">
        <v>495</v>
      </c>
      <c r="E271" s="25">
        <v>46108</v>
      </c>
      <c r="F271" s="27">
        <v>1122853.3500000001</v>
      </c>
      <c r="G271" s="26"/>
      <c r="H271" s="26" t="s">
        <v>1009</v>
      </c>
      <c r="I271" s="27">
        <v>0</v>
      </c>
      <c r="J271" s="26">
        <v>0</v>
      </c>
      <c r="K271" s="28" t="s">
        <v>1125</v>
      </c>
      <c r="L271" s="26" t="s">
        <v>1126</v>
      </c>
      <c r="M271" s="26"/>
    </row>
    <row r="272" spans="1:13" x14ac:dyDescent="0.3">
      <c r="A272" s="25">
        <v>46108</v>
      </c>
      <c r="B272" s="26"/>
      <c r="C272" s="27">
        <v>1250435.77</v>
      </c>
      <c r="D272" s="26" t="s">
        <v>496</v>
      </c>
      <c r="E272" s="25">
        <v>46108</v>
      </c>
      <c r="F272" s="27">
        <v>1250435.77</v>
      </c>
      <c r="G272" s="26"/>
      <c r="H272" s="26" t="s">
        <v>1027</v>
      </c>
      <c r="I272" s="27">
        <v>0</v>
      </c>
      <c r="J272" s="26">
        <v>0</v>
      </c>
      <c r="K272" s="28" t="s">
        <v>1125</v>
      </c>
      <c r="L272" s="26" t="s">
        <v>1126</v>
      </c>
      <c r="M272" s="26"/>
    </row>
    <row r="273" spans="1:13" x14ac:dyDescent="0.3">
      <c r="A273" s="25">
        <v>46108</v>
      </c>
      <c r="B273" s="26"/>
      <c r="C273" s="27">
        <v>173503.88</v>
      </c>
      <c r="D273" s="26" t="s">
        <v>497</v>
      </c>
      <c r="E273" s="25">
        <v>46108</v>
      </c>
      <c r="F273" s="27">
        <v>173503.88</v>
      </c>
      <c r="G273" s="26"/>
      <c r="H273" s="26" t="s">
        <v>1011</v>
      </c>
      <c r="I273" s="27">
        <v>0</v>
      </c>
      <c r="J273" s="26">
        <v>0</v>
      </c>
      <c r="K273" s="28" t="s">
        <v>1125</v>
      </c>
      <c r="L273" s="26" t="s">
        <v>1126</v>
      </c>
      <c r="M273" s="26"/>
    </row>
    <row r="274" spans="1:13" x14ac:dyDescent="0.3">
      <c r="A274" s="25">
        <v>46108</v>
      </c>
      <c r="B274" s="26"/>
      <c r="C274" s="27">
        <v>596451.92000000004</v>
      </c>
      <c r="D274" s="26" t="s">
        <v>498</v>
      </c>
      <c r="E274" s="25">
        <v>46108</v>
      </c>
      <c r="F274" s="27">
        <v>596451.92000000004</v>
      </c>
      <c r="G274" s="26"/>
      <c r="H274" s="26" t="s">
        <v>1013</v>
      </c>
      <c r="I274" s="27">
        <v>0</v>
      </c>
      <c r="J274" s="26">
        <v>0</v>
      </c>
      <c r="K274" s="28" t="s">
        <v>1125</v>
      </c>
      <c r="L274" s="26" t="s">
        <v>1126</v>
      </c>
      <c r="M274" s="26"/>
    </row>
    <row r="275" spans="1:13" x14ac:dyDescent="0.3">
      <c r="A275" s="25">
        <v>46108</v>
      </c>
      <c r="B275" s="26"/>
      <c r="C275" s="27">
        <v>266713.87</v>
      </c>
      <c r="D275" s="26" t="s">
        <v>499</v>
      </c>
      <c r="E275" s="25">
        <v>46108</v>
      </c>
      <c r="F275" s="27">
        <v>266713.87</v>
      </c>
      <c r="G275" s="26"/>
      <c r="H275" s="26" t="s">
        <v>1015</v>
      </c>
      <c r="I275" s="27">
        <v>0</v>
      </c>
      <c r="J275" s="26">
        <v>0</v>
      </c>
      <c r="K275" s="28" t="s">
        <v>1125</v>
      </c>
      <c r="L275" s="26" t="s">
        <v>1126</v>
      </c>
      <c r="M275" s="26"/>
    </row>
    <row r="276" spans="1:13" x14ac:dyDescent="0.3">
      <c r="A276" s="25">
        <v>46108</v>
      </c>
      <c r="B276" s="26"/>
      <c r="C276" s="27">
        <v>107044.75</v>
      </c>
      <c r="D276" s="26" t="s">
        <v>500</v>
      </c>
      <c r="E276" s="25">
        <v>46108</v>
      </c>
      <c r="F276" s="27">
        <v>107044.75</v>
      </c>
      <c r="G276" s="26"/>
      <c r="H276" s="26" t="s">
        <v>1025</v>
      </c>
      <c r="I276" s="27">
        <v>0</v>
      </c>
      <c r="J276" s="26">
        <v>0</v>
      </c>
      <c r="K276" s="28" t="s">
        <v>1125</v>
      </c>
      <c r="L276" s="26" t="s">
        <v>1126</v>
      </c>
      <c r="M276" s="26"/>
    </row>
    <row r="277" spans="1:13" x14ac:dyDescent="0.3">
      <c r="A277" s="25">
        <v>46108</v>
      </c>
      <c r="B277" s="26"/>
      <c r="C277" s="27">
        <v>290294.55</v>
      </c>
      <c r="D277" s="26" t="s">
        <v>501</v>
      </c>
      <c r="E277" s="25">
        <v>46108</v>
      </c>
      <c r="F277" s="27">
        <v>290294.55</v>
      </c>
      <c r="G277" s="26"/>
      <c r="H277" s="26" t="s">
        <v>1023</v>
      </c>
      <c r="I277" s="27">
        <v>0</v>
      </c>
      <c r="J277" s="26">
        <v>0</v>
      </c>
      <c r="K277" s="28" t="s">
        <v>1125</v>
      </c>
      <c r="L277" s="26" t="s">
        <v>1126</v>
      </c>
      <c r="M277" s="26"/>
    </row>
    <row r="278" spans="1:13" x14ac:dyDescent="0.3">
      <c r="A278" s="25">
        <v>46108</v>
      </c>
      <c r="B278" s="26"/>
      <c r="C278" s="27">
        <v>70792.7</v>
      </c>
      <c r="D278" s="26" t="s">
        <v>503</v>
      </c>
      <c r="E278" s="25">
        <v>46108</v>
      </c>
      <c r="F278" s="27">
        <v>70792.7</v>
      </c>
      <c r="G278" s="26"/>
      <c r="H278" s="26" t="s">
        <v>1021</v>
      </c>
      <c r="I278" s="27">
        <v>0</v>
      </c>
      <c r="J278" s="26">
        <v>0</v>
      </c>
      <c r="K278" s="28" t="s">
        <v>1125</v>
      </c>
      <c r="L278" s="26" t="s">
        <v>1126</v>
      </c>
      <c r="M278" s="26"/>
    </row>
    <row r="279" spans="1:13" x14ac:dyDescent="0.3">
      <c r="A279" s="25">
        <v>46108</v>
      </c>
      <c r="B279" s="26"/>
      <c r="C279" s="27">
        <v>72514.7</v>
      </c>
      <c r="D279" s="26" t="s">
        <v>504</v>
      </c>
      <c r="E279" s="25">
        <v>46108</v>
      </c>
      <c r="F279" s="27">
        <v>72514.7</v>
      </c>
      <c r="G279" s="26"/>
      <c r="H279" s="26" t="s">
        <v>1019</v>
      </c>
      <c r="I279" s="27">
        <v>0</v>
      </c>
      <c r="J279" s="26">
        <v>0</v>
      </c>
      <c r="K279" s="28" t="s">
        <v>1125</v>
      </c>
      <c r="L279" s="26" t="s">
        <v>1126</v>
      </c>
      <c r="M279" s="26"/>
    </row>
    <row r="280" spans="1:13" x14ac:dyDescent="0.3">
      <c r="A280" s="25">
        <v>46108</v>
      </c>
      <c r="B280" s="26"/>
      <c r="C280" s="27">
        <v>106948.5</v>
      </c>
      <c r="D280" s="26" t="s">
        <v>505</v>
      </c>
      <c r="E280" s="25">
        <v>46108</v>
      </c>
      <c r="F280" s="27">
        <v>106948.5</v>
      </c>
      <c r="G280" s="26"/>
      <c r="H280" s="26" t="s">
        <v>1017</v>
      </c>
      <c r="I280" s="27">
        <v>0</v>
      </c>
      <c r="J280" s="26">
        <v>0</v>
      </c>
      <c r="K280" s="28" t="s">
        <v>1125</v>
      </c>
      <c r="L280" s="26" t="s">
        <v>1126</v>
      </c>
      <c r="M280" s="26"/>
    </row>
    <row r="281" spans="1:13" x14ac:dyDescent="0.3">
      <c r="A281" s="25">
        <v>46111</v>
      </c>
      <c r="B281" s="26"/>
      <c r="C281" s="27">
        <v>51963.28</v>
      </c>
      <c r="D281" s="26" t="s">
        <v>511</v>
      </c>
      <c r="E281" s="25">
        <v>46111</v>
      </c>
      <c r="F281" s="27">
        <v>51963.28</v>
      </c>
      <c r="G281" s="26"/>
      <c r="H281" s="26" t="s">
        <v>1048</v>
      </c>
      <c r="I281" s="27">
        <v>0</v>
      </c>
      <c r="J281" s="26">
        <v>0</v>
      </c>
      <c r="K281" s="28" t="s">
        <v>1125</v>
      </c>
      <c r="L281" s="26" t="s">
        <v>1126</v>
      </c>
      <c r="M281" s="26"/>
    </row>
    <row r="282" spans="1:13" x14ac:dyDescent="0.3">
      <c r="A282" s="25">
        <v>46111</v>
      </c>
      <c r="B282" s="26"/>
      <c r="C282" s="27">
        <v>101094</v>
      </c>
      <c r="D282" s="26" t="s">
        <v>512</v>
      </c>
      <c r="E282" s="25">
        <v>46111</v>
      </c>
      <c r="F282" s="27">
        <v>101094</v>
      </c>
      <c r="G282" s="26"/>
      <c r="H282" s="26" t="s">
        <v>1030</v>
      </c>
      <c r="I282" s="27">
        <v>0</v>
      </c>
      <c r="J282" s="26">
        <v>0</v>
      </c>
      <c r="K282" s="28" t="s">
        <v>1125</v>
      </c>
      <c r="L282" s="26" t="s">
        <v>1126</v>
      </c>
      <c r="M282" s="26"/>
    </row>
    <row r="283" spans="1:13" x14ac:dyDescent="0.3">
      <c r="A283" s="25">
        <v>46111</v>
      </c>
      <c r="B283" s="26"/>
      <c r="C283" s="27">
        <v>1176895.48</v>
      </c>
      <c r="D283" s="26" t="s">
        <v>513</v>
      </c>
      <c r="E283" s="25">
        <v>46111</v>
      </c>
      <c r="F283" s="27">
        <v>1176895.48</v>
      </c>
      <c r="G283" s="26"/>
      <c r="H283" s="26" t="s">
        <v>1048</v>
      </c>
      <c r="I283" s="27">
        <v>0</v>
      </c>
      <c r="J283" s="26">
        <v>0</v>
      </c>
      <c r="K283" s="28" t="s">
        <v>1125</v>
      </c>
      <c r="L283" s="26" t="s">
        <v>1126</v>
      </c>
      <c r="M283" s="26"/>
    </row>
    <row r="284" spans="1:13" x14ac:dyDescent="0.3">
      <c r="A284" s="25">
        <v>46111</v>
      </c>
      <c r="B284" s="26"/>
      <c r="C284" s="27">
        <v>128041.62</v>
      </c>
      <c r="D284" s="26" t="s">
        <v>514</v>
      </c>
      <c r="E284" s="25">
        <v>46111</v>
      </c>
      <c r="F284" s="27">
        <v>128041.62</v>
      </c>
      <c r="G284" s="26"/>
      <c r="H284" s="26" t="s">
        <v>1037</v>
      </c>
      <c r="I284" s="27">
        <v>0</v>
      </c>
      <c r="J284" s="26">
        <v>0</v>
      </c>
      <c r="K284" s="28" t="s">
        <v>1125</v>
      </c>
      <c r="L284" s="26" t="s">
        <v>1126</v>
      </c>
      <c r="M284" s="26"/>
    </row>
    <row r="285" spans="1:13" x14ac:dyDescent="0.3">
      <c r="A285" s="25">
        <v>46111</v>
      </c>
      <c r="B285" s="26"/>
      <c r="C285" s="27">
        <v>855779.96</v>
      </c>
      <c r="D285" s="26" t="s">
        <v>515</v>
      </c>
      <c r="E285" s="25">
        <v>46111</v>
      </c>
      <c r="F285" s="27">
        <v>855779.96</v>
      </c>
      <c r="G285" s="26"/>
      <c r="H285" s="26" t="s">
        <v>1039</v>
      </c>
      <c r="I285" s="27">
        <v>0</v>
      </c>
      <c r="J285" s="26">
        <v>0</v>
      </c>
      <c r="K285" s="28" t="s">
        <v>1125</v>
      </c>
      <c r="L285" s="26" t="s">
        <v>1126</v>
      </c>
      <c r="M285" s="26"/>
    </row>
    <row r="286" spans="1:13" x14ac:dyDescent="0.3">
      <c r="A286" s="25">
        <v>46111</v>
      </c>
      <c r="B286" s="26"/>
      <c r="C286" s="27">
        <v>308187</v>
      </c>
      <c r="D286" s="26" t="s">
        <v>516</v>
      </c>
      <c r="E286" s="25">
        <v>46111</v>
      </c>
      <c r="F286" s="27">
        <v>308187</v>
      </c>
      <c r="G286" s="26"/>
      <c r="H286" s="26" t="s">
        <v>1035</v>
      </c>
      <c r="I286" s="27">
        <v>0</v>
      </c>
      <c r="J286" s="26">
        <v>0</v>
      </c>
      <c r="K286" s="28" t="s">
        <v>1125</v>
      </c>
      <c r="L286" s="26" t="s">
        <v>1126</v>
      </c>
      <c r="M286" s="26"/>
    </row>
    <row r="287" spans="1:13" x14ac:dyDescent="0.3">
      <c r="A287" s="25">
        <v>46111</v>
      </c>
      <c r="B287" s="26"/>
      <c r="C287" s="27">
        <v>1500000</v>
      </c>
      <c r="D287" s="26" t="s">
        <v>517</v>
      </c>
      <c r="E287" s="25">
        <v>46111</v>
      </c>
      <c r="F287" s="27">
        <v>1500000</v>
      </c>
      <c r="G287" s="26"/>
      <c r="H287" s="26" t="s">
        <v>1033</v>
      </c>
      <c r="I287" s="27">
        <v>0</v>
      </c>
      <c r="J287" s="26">
        <v>0</v>
      </c>
      <c r="K287" s="28" t="s">
        <v>1125</v>
      </c>
      <c r="L287" s="26" t="s">
        <v>1126</v>
      </c>
      <c r="M287" s="26"/>
    </row>
    <row r="288" spans="1:13" x14ac:dyDescent="0.3">
      <c r="A288" s="25">
        <v>46111</v>
      </c>
      <c r="B288" s="26"/>
      <c r="C288" s="27">
        <v>3000000</v>
      </c>
      <c r="D288" s="26" t="s">
        <v>518</v>
      </c>
      <c r="E288" s="25">
        <v>46111</v>
      </c>
      <c r="F288" s="27">
        <v>3000000</v>
      </c>
      <c r="G288" s="26"/>
      <c r="H288" s="26" t="s">
        <v>1034</v>
      </c>
      <c r="I288" s="27">
        <v>0</v>
      </c>
      <c r="J288" s="26">
        <v>0</v>
      </c>
      <c r="K288" s="28" t="s">
        <v>1125</v>
      </c>
      <c r="L288" s="26" t="s">
        <v>1126</v>
      </c>
      <c r="M288" s="26"/>
    </row>
    <row r="289" spans="1:13" x14ac:dyDescent="0.3">
      <c r="A289" s="25">
        <v>46111</v>
      </c>
      <c r="B289" s="27">
        <v>3000000</v>
      </c>
      <c r="C289" s="26"/>
      <c r="D289" s="26" t="s">
        <v>520</v>
      </c>
      <c r="E289" s="25">
        <v>46111</v>
      </c>
      <c r="F289" s="26"/>
      <c r="G289" s="27">
        <v>3000000</v>
      </c>
      <c r="H289" s="26" t="s">
        <v>1042</v>
      </c>
      <c r="I289" s="27">
        <v>0</v>
      </c>
      <c r="J289" s="26">
        <v>0</v>
      </c>
      <c r="K289" s="28" t="s">
        <v>1125</v>
      </c>
      <c r="L289" s="26" t="s">
        <v>1126</v>
      </c>
      <c r="M289" s="26"/>
    </row>
    <row r="290" spans="1:13" x14ac:dyDescent="0.3">
      <c r="A290" s="25">
        <v>46111</v>
      </c>
      <c r="B290" s="27">
        <v>211750</v>
      </c>
      <c r="C290" s="26"/>
      <c r="D290" s="26" t="s">
        <v>522</v>
      </c>
      <c r="E290" s="25">
        <v>46111</v>
      </c>
      <c r="F290" s="26"/>
      <c r="G290" s="27">
        <v>211750</v>
      </c>
      <c r="H290" s="26" t="s">
        <v>1041</v>
      </c>
      <c r="I290" s="27">
        <v>0</v>
      </c>
      <c r="J290" s="26">
        <v>0</v>
      </c>
      <c r="K290" s="28" t="s">
        <v>1125</v>
      </c>
      <c r="L290" s="26" t="s">
        <v>1126</v>
      </c>
      <c r="M290" s="26"/>
    </row>
    <row r="291" spans="1:13" x14ac:dyDescent="0.3">
      <c r="A291" s="25">
        <v>46111</v>
      </c>
      <c r="B291" s="27">
        <v>10615330</v>
      </c>
      <c r="C291" s="26"/>
      <c r="D291" s="26" t="s">
        <v>523</v>
      </c>
      <c r="E291" s="25">
        <v>46111</v>
      </c>
      <c r="F291" s="26"/>
      <c r="G291" s="27">
        <v>10615330</v>
      </c>
      <c r="H291" s="26" t="s">
        <v>1032</v>
      </c>
      <c r="I291" s="27">
        <v>0</v>
      </c>
      <c r="J291" s="26">
        <v>0</v>
      </c>
      <c r="K291" s="28" t="s">
        <v>1125</v>
      </c>
      <c r="L291" s="26" t="s">
        <v>1126</v>
      </c>
      <c r="M291" s="26"/>
    </row>
    <row r="292" spans="1:13" x14ac:dyDescent="0.3">
      <c r="A292" s="25">
        <v>46111</v>
      </c>
      <c r="B292" s="26"/>
      <c r="C292" s="27">
        <v>470220.6</v>
      </c>
      <c r="D292" s="26" t="s">
        <v>524</v>
      </c>
      <c r="E292" s="25">
        <v>46111</v>
      </c>
      <c r="F292" s="27">
        <v>470220.6</v>
      </c>
      <c r="G292" s="26"/>
      <c r="H292" s="26" t="s">
        <v>1043</v>
      </c>
      <c r="I292" s="27">
        <v>0</v>
      </c>
      <c r="J292" s="26">
        <v>0</v>
      </c>
      <c r="K292" s="28" t="s">
        <v>1125</v>
      </c>
      <c r="L292" s="26" t="s">
        <v>1126</v>
      </c>
      <c r="M292" s="26"/>
    </row>
    <row r="293" spans="1:13" x14ac:dyDescent="0.3">
      <c r="A293" s="25">
        <v>46111</v>
      </c>
      <c r="B293" s="26"/>
      <c r="C293" s="27">
        <v>182655.55</v>
      </c>
      <c r="D293" s="26" t="s">
        <v>525</v>
      </c>
      <c r="E293" s="25">
        <v>46111</v>
      </c>
      <c r="F293" s="27">
        <v>182655.55</v>
      </c>
      <c r="G293" s="26"/>
      <c r="H293" s="26" t="s">
        <v>1045</v>
      </c>
      <c r="I293" s="27">
        <v>0</v>
      </c>
      <c r="J293" s="26">
        <v>0</v>
      </c>
      <c r="K293" s="28" t="s">
        <v>1125</v>
      </c>
      <c r="L293" s="26" t="s">
        <v>1126</v>
      </c>
      <c r="M293" s="26"/>
    </row>
    <row r="294" spans="1:13" x14ac:dyDescent="0.3">
      <c r="A294" s="25">
        <v>46111</v>
      </c>
      <c r="B294" s="27">
        <v>9000000</v>
      </c>
      <c r="C294" s="26"/>
      <c r="D294" s="26" t="s">
        <v>526</v>
      </c>
      <c r="E294" s="25">
        <v>46111</v>
      </c>
      <c r="F294" s="26"/>
      <c r="G294" s="27">
        <v>9000000</v>
      </c>
      <c r="H294" s="26" t="s">
        <v>1047</v>
      </c>
      <c r="I294" s="27">
        <v>0</v>
      </c>
      <c r="J294" s="26">
        <v>0</v>
      </c>
      <c r="K294" s="28" t="s">
        <v>1125</v>
      </c>
      <c r="L294" s="26" t="s">
        <v>1126</v>
      </c>
      <c r="M294" s="26"/>
    </row>
    <row r="295" spans="1:13" x14ac:dyDescent="0.3">
      <c r="A295" s="25">
        <v>46112</v>
      </c>
      <c r="B295" s="26"/>
      <c r="C295" s="27">
        <v>257875.59</v>
      </c>
      <c r="D295" s="26" t="s">
        <v>535</v>
      </c>
      <c r="E295" s="25">
        <v>46112</v>
      </c>
      <c r="F295" s="27">
        <v>257875.59</v>
      </c>
      <c r="G295" s="26"/>
      <c r="H295" s="26" t="s">
        <v>1086</v>
      </c>
      <c r="I295" s="27">
        <v>0</v>
      </c>
      <c r="J295" s="26">
        <v>0</v>
      </c>
      <c r="K295" s="28" t="s">
        <v>1125</v>
      </c>
      <c r="L295" s="26" t="s">
        <v>1126</v>
      </c>
      <c r="M295" s="26"/>
    </row>
    <row r="296" spans="1:13" x14ac:dyDescent="0.3">
      <c r="A296" s="25">
        <v>46112</v>
      </c>
      <c r="B296" s="26"/>
      <c r="C296" s="27">
        <v>89991.03</v>
      </c>
      <c r="D296" s="26" t="s">
        <v>536</v>
      </c>
      <c r="E296" s="25">
        <v>46112</v>
      </c>
      <c r="F296" s="27">
        <v>89991.03</v>
      </c>
      <c r="G296" s="26"/>
      <c r="H296" s="26" t="s">
        <v>1086</v>
      </c>
      <c r="I296" s="27">
        <v>0</v>
      </c>
      <c r="J296" s="26">
        <v>0</v>
      </c>
      <c r="K296" s="28" t="s">
        <v>1125</v>
      </c>
      <c r="L296" s="26" t="s">
        <v>1126</v>
      </c>
      <c r="M296" s="26"/>
    </row>
    <row r="297" spans="1:13" x14ac:dyDescent="0.3">
      <c r="A297" s="25">
        <v>46112</v>
      </c>
      <c r="B297" s="26"/>
      <c r="C297" s="27">
        <v>1000000</v>
      </c>
      <c r="D297" s="26" t="s">
        <v>537</v>
      </c>
      <c r="E297" s="25">
        <v>46112</v>
      </c>
      <c r="F297" s="26"/>
      <c r="G297" s="27">
        <v>1000000</v>
      </c>
      <c r="H297" s="26" t="s">
        <v>1049</v>
      </c>
      <c r="I297" s="27">
        <v>0</v>
      </c>
      <c r="J297" s="26">
        <v>0</v>
      </c>
      <c r="K297" s="28" t="s">
        <v>1125</v>
      </c>
      <c r="L297" s="26" t="s">
        <v>1126</v>
      </c>
      <c r="M297" s="26"/>
    </row>
    <row r="298" spans="1:13" x14ac:dyDescent="0.3">
      <c r="A298" s="25">
        <v>46112</v>
      </c>
      <c r="B298" s="26"/>
      <c r="C298" s="27">
        <v>1691644.5</v>
      </c>
      <c r="D298" s="26" t="s">
        <v>538</v>
      </c>
      <c r="E298" s="25">
        <v>46112</v>
      </c>
      <c r="F298" s="27">
        <v>1691644.5</v>
      </c>
      <c r="G298" s="26"/>
      <c r="H298" s="26" t="s">
        <v>1058</v>
      </c>
      <c r="I298" s="27">
        <v>0</v>
      </c>
      <c r="J298" s="26">
        <v>0</v>
      </c>
      <c r="K298" s="28" t="s">
        <v>1125</v>
      </c>
      <c r="L298" s="26" t="s">
        <v>1126</v>
      </c>
      <c r="M298" s="26"/>
    </row>
    <row r="299" spans="1:13" x14ac:dyDescent="0.3">
      <c r="A299" s="25">
        <v>46112</v>
      </c>
      <c r="B299" s="27">
        <v>72600</v>
      </c>
      <c r="C299" s="26"/>
      <c r="D299" s="26" t="s">
        <v>539</v>
      </c>
      <c r="E299" s="25">
        <v>46112</v>
      </c>
      <c r="F299" s="26"/>
      <c r="G299" s="27">
        <v>72600</v>
      </c>
      <c r="H299" s="26" t="s">
        <v>1057</v>
      </c>
      <c r="I299" s="27">
        <v>0</v>
      </c>
      <c r="J299" s="26">
        <v>0</v>
      </c>
      <c r="K299" s="28" t="s">
        <v>1125</v>
      </c>
      <c r="L299" s="26" t="s">
        <v>1126</v>
      </c>
      <c r="M299" s="26"/>
    </row>
    <row r="300" spans="1:13" x14ac:dyDescent="0.3">
      <c r="A300" s="25">
        <v>46112</v>
      </c>
      <c r="B300" s="27">
        <v>324270</v>
      </c>
      <c r="C300" s="26"/>
      <c r="D300" s="26" t="s">
        <v>540</v>
      </c>
      <c r="E300" s="25">
        <v>46112</v>
      </c>
      <c r="F300" s="26"/>
      <c r="G300" s="27">
        <v>324270</v>
      </c>
      <c r="H300" s="26" t="s">
        <v>1056</v>
      </c>
      <c r="I300" s="27">
        <v>0</v>
      </c>
      <c r="J300" s="26">
        <v>0</v>
      </c>
      <c r="K300" s="28" t="s">
        <v>1125</v>
      </c>
      <c r="L300" s="26" t="s">
        <v>1126</v>
      </c>
      <c r="M300" s="26"/>
    </row>
    <row r="301" spans="1:13" x14ac:dyDescent="0.3">
      <c r="A301" s="25">
        <v>46112</v>
      </c>
      <c r="B301" s="27">
        <v>27818.639999999999</v>
      </c>
      <c r="C301" s="26"/>
      <c r="D301" s="26" t="s">
        <v>541</v>
      </c>
      <c r="E301" s="25">
        <v>46112</v>
      </c>
      <c r="F301" s="26"/>
      <c r="G301" s="27">
        <v>27818.639999999999</v>
      </c>
      <c r="H301" s="26" t="s">
        <v>1055</v>
      </c>
      <c r="I301" s="27">
        <v>0</v>
      </c>
      <c r="J301" s="26">
        <v>0</v>
      </c>
      <c r="K301" s="28" t="s">
        <v>1125</v>
      </c>
      <c r="L301" s="26" t="s">
        <v>1126</v>
      </c>
      <c r="M301" s="26"/>
    </row>
    <row r="302" spans="1:13" x14ac:dyDescent="0.3">
      <c r="A302" s="25">
        <v>46112</v>
      </c>
      <c r="B302" s="27">
        <v>1395879.99</v>
      </c>
      <c r="C302" s="26"/>
      <c r="D302" s="26" t="s">
        <v>542</v>
      </c>
      <c r="E302" s="25">
        <v>46112</v>
      </c>
      <c r="F302" s="26"/>
      <c r="G302" s="27">
        <v>1395879.99</v>
      </c>
      <c r="H302" s="26" t="s">
        <v>1054</v>
      </c>
      <c r="I302" s="27">
        <v>0</v>
      </c>
      <c r="J302" s="26">
        <v>0</v>
      </c>
      <c r="K302" s="28" t="s">
        <v>1125</v>
      </c>
      <c r="L302" s="26" t="s">
        <v>1126</v>
      </c>
      <c r="M302" s="26"/>
    </row>
    <row r="303" spans="1:13" x14ac:dyDescent="0.3">
      <c r="A303" s="25">
        <v>46112</v>
      </c>
      <c r="B303" s="27">
        <v>243090.94</v>
      </c>
      <c r="C303" s="26"/>
      <c r="D303" s="26" t="s">
        <v>543</v>
      </c>
      <c r="E303" s="25">
        <v>46112</v>
      </c>
      <c r="F303" s="26"/>
      <c r="G303" s="27">
        <v>243090.94</v>
      </c>
      <c r="H303" s="26" t="s">
        <v>1052</v>
      </c>
      <c r="I303" s="27">
        <v>0</v>
      </c>
      <c r="J303" s="26">
        <v>0</v>
      </c>
      <c r="K303" s="28" t="s">
        <v>1125</v>
      </c>
      <c r="L303" s="26" t="s">
        <v>1126</v>
      </c>
      <c r="M303" s="26"/>
    </row>
    <row r="304" spans="1:13" x14ac:dyDescent="0.3">
      <c r="A304" s="25">
        <v>46112</v>
      </c>
      <c r="B304" s="27">
        <v>1205540.25</v>
      </c>
      <c r="C304" s="26"/>
      <c r="D304" s="26" t="s">
        <v>544</v>
      </c>
      <c r="E304" s="25">
        <v>46112</v>
      </c>
      <c r="F304" s="26"/>
      <c r="G304" s="27">
        <v>1205540.25</v>
      </c>
      <c r="H304" s="26" t="s">
        <v>1063</v>
      </c>
      <c r="I304" s="27">
        <v>0</v>
      </c>
      <c r="J304" s="26">
        <v>0</v>
      </c>
      <c r="K304" s="28" t="s">
        <v>1125</v>
      </c>
      <c r="L304" s="26" t="s">
        <v>1126</v>
      </c>
      <c r="M304" s="26"/>
    </row>
    <row r="305" spans="1:13" x14ac:dyDescent="0.3">
      <c r="A305" s="25">
        <v>46112</v>
      </c>
      <c r="B305" s="27">
        <v>440846.7</v>
      </c>
      <c r="C305" s="26"/>
      <c r="D305" s="26" t="s">
        <v>545</v>
      </c>
      <c r="E305" s="25">
        <v>46112</v>
      </c>
      <c r="F305" s="26"/>
      <c r="G305" s="27">
        <v>440846.7</v>
      </c>
      <c r="H305" s="26" t="s">
        <v>1061</v>
      </c>
      <c r="I305" s="27">
        <v>0</v>
      </c>
      <c r="J305" s="26">
        <v>0</v>
      </c>
      <c r="K305" s="28" t="s">
        <v>1125</v>
      </c>
      <c r="L305" s="26" t="s">
        <v>1126</v>
      </c>
      <c r="M305" s="26"/>
    </row>
    <row r="306" spans="1:13" x14ac:dyDescent="0.3">
      <c r="A306" s="25">
        <v>46112</v>
      </c>
      <c r="B306" s="27">
        <v>433903.21</v>
      </c>
      <c r="C306" s="26"/>
      <c r="D306" s="26" t="s">
        <v>546</v>
      </c>
      <c r="E306" s="25">
        <v>46112</v>
      </c>
      <c r="F306" s="26"/>
      <c r="G306" s="27">
        <v>433903.21</v>
      </c>
      <c r="H306" s="26" t="s">
        <v>1053</v>
      </c>
      <c r="I306" s="27">
        <v>0</v>
      </c>
      <c r="J306" s="26">
        <v>0</v>
      </c>
      <c r="K306" s="28" t="s">
        <v>1125</v>
      </c>
      <c r="L306" s="26" t="s">
        <v>1126</v>
      </c>
      <c r="M306" s="26"/>
    </row>
    <row r="307" spans="1:13" x14ac:dyDescent="0.3">
      <c r="A307" s="25">
        <v>46112</v>
      </c>
      <c r="B307" s="26"/>
      <c r="C307" s="27">
        <v>324739.8</v>
      </c>
      <c r="D307" s="26" t="s">
        <v>547</v>
      </c>
      <c r="E307" s="25">
        <v>46112</v>
      </c>
      <c r="F307" s="27">
        <v>324739.8</v>
      </c>
      <c r="G307" s="26"/>
      <c r="H307" s="26" t="s">
        <v>1066</v>
      </c>
      <c r="I307" s="27">
        <v>0</v>
      </c>
      <c r="J307" s="26">
        <v>0</v>
      </c>
      <c r="K307" s="28" t="s">
        <v>1125</v>
      </c>
      <c r="L307" s="26" t="s">
        <v>1126</v>
      </c>
      <c r="M307" s="26"/>
    </row>
    <row r="308" spans="1:13" x14ac:dyDescent="0.3">
      <c r="A308" s="25">
        <v>46112</v>
      </c>
      <c r="B308" s="26"/>
      <c r="C308" s="27">
        <v>508388.4</v>
      </c>
      <c r="D308" s="26" t="s">
        <v>548</v>
      </c>
      <c r="E308" s="25">
        <v>46112</v>
      </c>
      <c r="F308" s="27">
        <v>508388.4</v>
      </c>
      <c r="G308" s="26"/>
      <c r="H308" s="26" t="s">
        <v>1068</v>
      </c>
      <c r="I308" s="27">
        <v>0</v>
      </c>
      <c r="J308" s="26">
        <v>0</v>
      </c>
      <c r="K308" s="28" t="s">
        <v>1125</v>
      </c>
      <c r="L308" s="26" t="s">
        <v>1126</v>
      </c>
      <c r="M308" s="26"/>
    </row>
    <row r="309" spans="1:13" x14ac:dyDescent="0.3">
      <c r="A309" s="25">
        <v>46112</v>
      </c>
      <c r="B309" s="26"/>
      <c r="C309" s="27">
        <v>568430.80000000005</v>
      </c>
      <c r="D309" s="26" t="s">
        <v>549</v>
      </c>
      <c r="E309" s="25">
        <v>46112</v>
      </c>
      <c r="F309" s="27">
        <v>568430.80000000005</v>
      </c>
      <c r="G309" s="26"/>
      <c r="H309" s="26" t="s">
        <v>1081</v>
      </c>
      <c r="I309" s="27">
        <v>0</v>
      </c>
      <c r="J309" s="26">
        <v>0</v>
      </c>
      <c r="K309" s="28" t="s">
        <v>1125</v>
      </c>
      <c r="L309" s="26" t="s">
        <v>1126</v>
      </c>
      <c r="M309" s="26"/>
    </row>
    <row r="310" spans="1:13" x14ac:dyDescent="0.3">
      <c r="A310" s="25">
        <v>46112</v>
      </c>
      <c r="B310" s="26"/>
      <c r="C310" s="27">
        <v>388985.59999999998</v>
      </c>
      <c r="D310" s="26" t="s">
        <v>550</v>
      </c>
      <c r="E310" s="25">
        <v>46112</v>
      </c>
      <c r="F310" s="27">
        <v>388985.59999999998</v>
      </c>
      <c r="G310" s="26"/>
      <c r="H310" s="26" t="s">
        <v>1083</v>
      </c>
      <c r="I310" s="27">
        <v>0</v>
      </c>
      <c r="J310" s="26">
        <v>0</v>
      </c>
      <c r="K310" s="28" t="s">
        <v>1125</v>
      </c>
      <c r="L310" s="26" t="s">
        <v>1126</v>
      </c>
      <c r="M310" s="26"/>
    </row>
    <row r="311" spans="1:13" x14ac:dyDescent="0.3">
      <c r="A311" s="25">
        <v>46112</v>
      </c>
      <c r="B311" s="26"/>
      <c r="C311" s="27">
        <v>1647720.94</v>
      </c>
      <c r="D311" s="26" t="s">
        <v>551</v>
      </c>
      <c r="E311" s="25">
        <v>46112</v>
      </c>
      <c r="F311" s="27">
        <v>1647720.94</v>
      </c>
      <c r="G311" s="26"/>
      <c r="H311" s="26" t="s">
        <v>1085</v>
      </c>
      <c r="I311" s="27">
        <v>0</v>
      </c>
      <c r="J311" s="26">
        <v>0</v>
      </c>
      <c r="K311" s="28" t="s">
        <v>1125</v>
      </c>
      <c r="L311" s="26" t="s">
        <v>1126</v>
      </c>
      <c r="M311" s="26"/>
    </row>
    <row r="312" spans="1:13" x14ac:dyDescent="0.3">
      <c r="A312" s="25">
        <v>46112</v>
      </c>
      <c r="B312" s="26"/>
      <c r="C312" s="27">
        <v>2000000</v>
      </c>
      <c r="D312" s="26" t="s">
        <v>552</v>
      </c>
      <c r="E312" s="25">
        <v>46112</v>
      </c>
      <c r="F312" s="27">
        <v>2000000</v>
      </c>
      <c r="G312" s="26"/>
      <c r="H312" s="26" t="s">
        <v>1071</v>
      </c>
      <c r="I312" s="27">
        <v>0</v>
      </c>
      <c r="J312" s="26">
        <v>0</v>
      </c>
      <c r="K312" s="28" t="s">
        <v>1125</v>
      </c>
      <c r="L312" s="26" t="s">
        <v>1126</v>
      </c>
      <c r="M312" s="26"/>
    </row>
    <row r="313" spans="1:13" x14ac:dyDescent="0.3">
      <c r="A313" s="25">
        <v>46112</v>
      </c>
      <c r="B313" s="27">
        <v>1113200</v>
      </c>
      <c r="C313" s="26"/>
      <c r="D313" s="26" t="s">
        <v>554</v>
      </c>
      <c r="E313" s="25">
        <v>46112</v>
      </c>
      <c r="F313" s="26"/>
      <c r="G313" s="27">
        <v>1113200</v>
      </c>
      <c r="H313" s="26" t="s">
        <v>1080</v>
      </c>
      <c r="I313" s="27">
        <v>0</v>
      </c>
      <c r="J313" s="26">
        <v>0</v>
      </c>
      <c r="K313" s="28" t="s">
        <v>1125</v>
      </c>
      <c r="L313" s="26" t="s">
        <v>1126</v>
      </c>
      <c r="M313" s="26"/>
    </row>
    <row r="314" spans="1:13" x14ac:dyDescent="0.3">
      <c r="A314" s="25">
        <v>46112</v>
      </c>
      <c r="B314" s="27">
        <v>10000000</v>
      </c>
      <c r="C314" s="26"/>
      <c r="D314" s="26" t="s">
        <v>555</v>
      </c>
      <c r="E314" s="25">
        <v>46112</v>
      </c>
      <c r="F314" s="26"/>
      <c r="G314" s="27">
        <v>10000000</v>
      </c>
      <c r="H314" s="26" t="s">
        <v>1072</v>
      </c>
      <c r="I314" s="27">
        <v>0</v>
      </c>
      <c r="J314" s="26">
        <v>0</v>
      </c>
      <c r="K314" s="28" t="s">
        <v>1125</v>
      </c>
      <c r="L314" s="26" t="s">
        <v>1126</v>
      </c>
      <c r="M314" s="26"/>
    </row>
    <row r="315" spans="1:13" x14ac:dyDescent="0.3">
      <c r="A315" s="25">
        <v>46112</v>
      </c>
      <c r="B315" s="26"/>
      <c r="C315" s="27">
        <v>64999999.990000002</v>
      </c>
      <c r="D315" s="26" t="s">
        <v>556</v>
      </c>
      <c r="E315" s="25">
        <v>46112</v>
      </c>
      <c r="F315" s="27">
        <v>64999999.990000002</v>
      </c>
      <c r="G315" s="26"/>
      <c r="H315" s="26" t="s">
        <v>1064</v>
      </c>
      <c r="I315" s="27">
        <v>0</v>
      </c>
      <c r="J315" s="26">
        <v>0</v>
      </c>
      <c r="K315" s="28" t="s">
        <v>1125</v>
      </c>
      <c r="L315" s="26" t="s">
        <v>1126</v>
      </c>
      <c r="M315" s="26"/>
    </row>
    <row r="316" spans="1:13" x14ac:dyDescent="0.3">
      <c r="A316" s="25">
        <v>46112</v>
      </c>
      <c r="B316" s="26"/>
      <c r="C316" s="27">
        <v>556855.23</v>
      </c>
      <c r="D316" s="26" t="s">
        <v>64</v>
      </c>
      <c r="E316" s="25">
        <v>46112</v>
      </c>
      <c r="F316" s="27">
        <v>556855.23</v>
      </c>
      <c r="G316" s="26"/>
      <c r="H316" s="26" t="s">
        <v>1073</v>
      </c>
      <c r="I316" s="27">
        <v>0</v>
      </c>
      <c r="J316" s="26">
        <v>0</v>
      </c>
      <c r="K316" s="28" t="s">
        <v>1125</v>
      </c>
      <c r="L316" s="26" t="s">
        <v>1126</v>
      </c>
      <c r="M316" s="26"/>
    </row>
    <row r="317" spans="1:13" x14ac:dyDescent="0.3">
      <c r="A317" s="25">
        <v>46112</v>
      </c>
      <c r="B317" s="27">
        <v>2460000</v>
      </c>
      <c r="C317" s="26"/>
      <c r="D317" s="26" t="s">
        <v>591</v>
      </c>
      <c r="E317" s="25">
        <v>46112</v>
      </c>
      <c r="F317" s="26"/>
      <c r="G317" s="27">
        <v>2460000</v>
      </c>
      <c r="H317" s="26" t="s">
        <v>1050</v>
      </c>
      <c r="I317" s="27">
        <v>0</v>
      </c>
      <c r="J317" s="26">
        <v>0</v>
      </c>
      <c r="K317" s="28" t="s">
        <v>1125</v>
      </c>
      <c r="L317" s="26" t="s">
        <v>1126</v>
      </c>
      <c r="M317" s="26"/>
    </row>
    <row r="318" spans="1:13" x14ac:dyDescent="0.3">
      <c r="A318" s="25">
        <v>46112</v>
      </c>
      <c r="B318" s="27">
        <v>1000000</v>
      </c>
      <c r="C318" s="26"/>
      <c r="D318" s="26" t="s">
        <v>592</v>
      </c>
      <c r="E318" s="25">
        <v>46112</v>
      </c>
      <c r="F318" s="26"/>
      <c r="G318" s="27">
        <v>1000000</v>
      </c>
      <c r="H318" s="26" t="s">
        <v>1051</v>
      </c>
      <c r="I318" s="27">
        <v>0</v>
      </c>
      <c r="J318" s="26">
        <v>0</v>
      </c>
      <c r="K318" s="28" t="s">
        <v>1125</v>
      </c>
      <c r="L318" s="26" t="s">
        <v>1126</v>
      </c>
      <c r="M318" s="26"/>
    </row>
    <row r="319" spans="1:13" x14ac:dyDescent="0.3">
      <c r="A319" s="25">
        <v>46084</v>
      </c>
      <c r="B319" s="26"/>
      <c r="C319" s="27">
        <v>2637600.65</v>
      </c>
      <c r="D319" s="26" t="s">
        <v>70</v>
      </c>
      <c r="E319" s="25">
        <v>46083</v>
      </c>
      <c r="F319" s="27">
        <v>2637600.65</v>
      </c>
      <c r="G319" s="26"/>
      <c r="H319" s="26" t="s">
        <v>599</v>
      </c>
      <c r="I319" s="27">
        <v>0</v>
      </c>
      <c r="J319" s="26">
        <v>0</v>
      </c>
      <c r="K319" s="26" t="s">
        <v>1127</v>
      </c>
      <c r="L319" s="26" t="s">
        <v>1126</v>
      </c>
      <c r="M319" s="26"/>
    </row>
    <row r="320" spans="1:13" x14ac:dyDescent="0.3">
      <c r="A320" s="25">
        <v>46085</v>
      </c>
      <c r="B320" s="27">
        <v>9000000</v>
      </c>
      <c r="C320" s="26"/>
      <c r="D320" s="26" t="s">
        <v>102</v>
      </c>
      <c r="E320" s="25">
        <v>46086</v>
      </c>
      <c r="F320" s="26"/>
      <c r="G320" s="27">
        <v>9000000</v>
      </c>
      <c r="H320" s="26" t="s">
        <v>665</v>
      </c>
      <c r="I320" s="27">
        <v>0</v>
      </c>
      <c r="J320" s="26">
        <v>0</v>
      </c>
      <c r="K320" s="26" t="s">
        <v>1127</v>
      </c>
      <c r="L320" s="26" t="s">
        <v>1126</v>
      </c>
      <c r="M320" s="26"/>
    </row>
    <row r="321" spans="1:13" x14ac:dyDescent="0.3">
      <c r="A321" s="25">
        <v>46091</v>
      </c>
      <c r="B321" s="26"/>
      <c r="C321" s="27">
        <v>590000</v>
      </c>
      <c r="D321" s="26" t="s">
        <v>184</v>
      </c>
      <c r="E321" s="25">
        <v>46090</v>
      </c>
      <c r="F321" s="27">
        <v>590000</v>
      </c>
      <c r="G321" s="26"/>
      <c r="H321" s="26" t="s">
        <v>711</v>
      </c>
      <c r="I321" s="27">
        <v>0</v>
      </c>
      <c r="J321" s="26">
        <v>0</v>
      </c>
      <c r="K321" s="26" t="s">
        <v>1127</v>
      </c>
      <c r="L321" s="26" t="s">
        <v>1126</v>
      </c>
      <c r="M321" s="26"/>
    </row>
    <row r="322" spans="1:13" x14ac:dyDescent="0.3">
      <c r="A322" s="25">
        <v>46099</v>
      </c>
      <c r="B322" s="26"/>
      <c r="C322" s="27">
        <v>184531.62</v>
      </c>
      <c r="D322" s="26" t="s">
        <v>69</v>
      </c>
      <c r="E322" s="25">
        <v>46098</v>
      </c>
      <c r="F322" s="27">
        <v>184531.62</v>
      </c>
      <c r="G322" s="26"/>
      <c r="H322" s="26" t="s">
        <v>895</v>
      </c>
      <c r="I322" s="27">
        <v>0</v>
      </c>
      <c r="J322" s="26">
        <v>0</v>
      </c>
      <c r="K322" s="26" t="s">
        <v>1127</v>
      </c>
      <c r="L322" s="26" t="s">
        <v>1126</v>
      </c>
      <c r="M322" s="26"/>
    </row>
    <row r="323" spans="1:13" x14ac:dyDescent="0.3">
      <c r="A323" s="25">
        <v>46101</v>
      </c>
      <c r="B323" s="26"/>
      <c r="C323" s="27">
        <v>292236</v>
      </c>
      <c r="D323" s="26" t="s">
        <v>70</v>
      </c>
      <c r="E323" s="25">
        <v>46100</v>
      </c>
      <c r="F323" s="27">
        <v>292236</v>
      </c>
      <c r="G323" s="26"/>
      <c r="H323" s="26" t="s">
        <v>915</v>
      </c>
      <c r="I323" s="27">
        <v>0</v>
      </c>
      <c r="J323" s="26">
        <v>0</v>
      </c>
      <c r="K323" s="26" t="s">
        <v>1127</v>
      </c>
      <c r="L323" s="26" t="s">
        <v>1126</v>
      </c>
      <c r="M323" s="26"/>
    </row>
    <row r="324" spans="1:13" x14ac:dyDescent="0.3">
      <c r="A324" s="25">
        <v>46111</v>
      </c>
      <c r="B324" s="26"/>
      <c r="C324" s="27">
        <v>15000000</v>
      </c>
      <c r="D324" s="26" t="s">
        <v>519</v>
      </c>
      <c r="E324" s="25">
        <v>46112</v>
      </c>
      <c r="F324" s="27">
        <v>15000000</v>
      </c>
      <c r="G324" s="26"/>
      <c r="H324" s="26" t="s">
        <v>1088</v>
      </c>
      <c r="I324" s="27">
        <v>0</v>
      </c>
      <c r="J324" s="26">
        <v>0</v>
      </c>
      <c r="K324" s="26" t="s">
        <v>1127</v>
      </c>
      <c r="L324" s="26" t="s">
        <v>1126</v>
      </c>
      <c r="M324" s="26"/>
    </row>
    <row r="325" spans="1:13" x14ac:dyDescent="0.3">
      <c r="A325" s="29">
        <v>46112</v>
      </c>
      <c r="B325" s="30">
        <v>1175992</v>
      </c>
      <c r="C325" s="31"/>
      <c r="D325" s="31" t="s">
        <v>553</v>
      </c>
      <c r="E325" s="29">
        <v>46112</v>
      </c>
      <c r="F325" s="31"/>
      <c r="G325" s="30">
        <v>1175992.01</v>
      </c>
      <c r="H325" s="31" t="s">
        <v>1079</v>
      </c>
      <c r="I325" s="32">
        <v>0.01</v>
      </c>
      <c r="J325" s="31">
        <v>0</v>
      </c>
      <c r="K325" s="31" t="s">
        <v>1127</v>
      </c>
      <c r="L325" s="31" t="s">
        <v>1128</v>
      </c>
      <c r="M325" s="31"/>
    </row>
    <row r="326" spans="1:13" x14ac:dyDescent="0.3">
      <c r="A326" s="29">
        <v>46091</v>
      </c>
      <c r="B326" s="31"/>
      <c r="C326" s="30">
        <v>71602999.769999996</v>
      </c>
      <c r="D326" s="31" t="s">
        <v>222</v>
      </c>
      <c r="E326" s="29">
        <v>46091</v>
      </c>
      <c r="F326" s="30">
        <v>71602999.819999993</v>
      </c>
      <c r="G326" s="31"/>
      <c r="H326" s="31" t="s">
        <v>748</v>
      </c>
      <c r="I326" s="32">
        <v>0.05</v>
      </c>
      <c r="J326" s="31">
        <v>0</v>
      </c>
      <c r="K326" s="31" t="s">
        <v>1127</v>
      </c>
      <c r="L326" s="31" t="s">
        <v>1128</v>
      </c>
      <c r="M326" s="31"/>
    </row>
    <row r="327" spans="1:13" x14ac:dyDescent="0.3">
      <c r="A327" s="29">
        <v>46110</v>
      </c>
      <c r="B327" s="31"/>
      <c r="C327" s="30">
        <v>56571.58</v>
      </c>
      <c r="D327" s="31" t="s">
        <v>508</v>
      </c>
      <c r="E327" s="29">
        <v>46110</v>
      </c>
      <c r="F327" s="30">
        <v>56571.5</v>
      </c>
      <c r="G327" s="31"/>
      <c r="H327" s="31" t="s">
        <v>1028</v>
      </c>
      <c r="I327" s="32">
        <v>0.08</v>
      </c>
      <c r="J327" s="31">
        <v>0</v>
      </c>
      <c r="K327" s="31" t="s">
        <v>1127</v>
      </c>
      <c r="L327" s="31" t="s">
        <v>1128</v>
      </c>
      <c r="M327" s="31"/>
    </row>
    <row r="328" spans="1:13" x14ac:dyDescent="0.3">
      <c r="A328" s="25">
        <v>46086</v>
      </c>
      <c r="B328" s="26"/>
      <c r="C328" s="27">
        <v>792947.4</v>
      </c>
      <c r="D328" s="26" t="s">
        <v>69</v>
      </c>
      <c r="E328" s="25">
        <v>46084</v>
      </c>
      <c r="F328" s="27">
        <v>792947.4</v>
      </c>
      <c r="G328" s="26"/>
      <c r="H328" s="26" t="s">
        <v>643</v>
      </c>
      <c r="I328" s="27">
        <v>0</v>
      </c>
      <c r="J328" s="26">
        <v>0</v>
      </c>
      <c r="K328" s="28" t="s">
        <v>1129</v>
      </c>
      <c r="L328" s="26" t="s">
        <v>1126</v>
      </c>
      <c r="M328" s="26"/>
    </row>
    <row r="329" spans="1:13" x14ac:dyDescent="0.3">
      <c r="A329" s="25">
        <v>46100</v>
      </c>
      <c r="B329" s="26"/>
      <c r="C329" s="27">
        <v>120730.65</v>
      </c>
      <c r="D329" s="26" t="s">
        <v>398</v>
      </c>
      <c r="E329" s="25">
        <v>46098</v>
      </c>
      <c r="F329" s="27">
        <v>120730.65</v>
      </c>
      <c r="G329" s="26"/>
      <c r="H329" s="26" t="s">
        <v>881</v>
      </c>
      <c r="I329" s="27">
        <v>0</v>
      </c>
      <c r="J329" s="26">
        <v>0</v>
      </c>
      <c r="K329" s="28" t="s">
        <v>1129</v>
      </c>
      <c r="L329" s="26" t="s">
        <v>1126</v>
      </c>
      <c r="M329" s="26"/>
    </row>
    <row r="330" spans="1:13" x14ac:dyDescent="0.3">
      <c r="A330" s="25">
        <v>46090</v>
      </c>
      <c r="B330" s="26"/>
      <c r="C330" s="27">
        <v>530751.65</v>
      </c>
      <c r="D330" s="26" t="s">
        <v>69</v>
      </c>
      <c r="E330" s="25">
        <v>46087</v>
      </c>
      <c r="F330" s="27">
        <v>530751.65</v>
      </c>
      <c r="G330" s="26"/>
      <c r="H330" s="26" t="s">
        <v>684</v>
      </c>
      <c r="I330" s="27">
        <v>0</v>
      </c>
      <c r="J330" s="26">
        <v>0</v>
      </c>
      <c r="K330" s="28" t="s">
        <v>1129</v>
      </c>
      <c r="L330" s="26" t="s">
        <v>1126</v>
      </c>
      <c r="M330" s="26"/>
    </row>
    <row r="331" spans="1:13" x14ac:dyDescent="0.3">
      <c r="A331" s="25">
        <v>46090</v>
      </c>
      <c r="B331" s="26"/>
      <c r="C331" s="27">
        <v>625867.81000000006</v>
      </c>
      <c r="D331" s="26" t="s">
        <v>70</v>
      </c>
      <c r="E331" s="25">
        <v>46087</v>
      </c>
      <c r="F331" s="27">
        <v>625867.81000000006</v>
      </c>
      <c r="G331" s="26"/>
      <c r="H331" s="26" t="s">
        <v>684</v>
      </c>
      <c r="I331" s="27">
        <v>0</v>
      </c>
      <c r="J331" s="26">
        <v>0</v>
      </c>
      <c r="K331" s="28" t="s">
        <v>1129</v>
      </c>
      <c r="L331" s="26" t="s">
        <v>1126</v>
      </c>
      <c r="M331" s="26"/>
    </row>
    <row r="332" spans="1:13" x14ac:dyDescent="0.3">
      <c r="A332" s="25">
        <v>46111</v>
      </c>
      <c r="B332" s="27">
        <v>542786.63</v>
      </c>
      <c r="C332" s="26"/>
      <c r="D332" s="26" t="s">
        <v>521</v>
      </c>
      <c r="E332" s="25">
        <v>46108</v>
      </c>
      <c r="F332" s="26"/>
      <c r="G332" s="27">
        <v>542786.63</v>
      </c>
      <c r="H332" s="26" t="s">
        <v>1008</v>
      </c>
      <c r="I332" s="27">
        <v>0</v>
      </c>
      <c r="J332" s="26">
        <v>0</v>
      </c>
      <c r="K332" s="28" t="s">
        <v>1129</v>
      </c>
      <c r="L332" s="26" t="s">
        <v>1126</v>
      </c>
      <c r="M332" s="26"/>
    </row>
    <row r="333" spans="1:13" x14ac:dyDescent="0.3">
      <c r="A333" s="25">
        <v>46107</v>
      </c>
      <c r="B333" s="26"/>
      <c r="C333" s="27">
        <v>3430492</v>
      </c>
      <c r="D333" s="26" t="s">
        <v>70</v>
      </c>
      <c r="E333" s="25">
        <v>46112</v>
      </c>
      <c r="F333" s="27">
        <v>3430492</v>
      </c>
      <c r="G333" s="26"/>
      <c r="H333" s="26" t="s">
        <v>1076</v>
      </c>
      <c r="I333" s="27">
        <v>0</v>
      </c>
      <c r="J333" s="26">
        <v>0</v>
      </c>
      <c r="K333" s="28" t="s">
        <v>1129</v>
      </c>
      <c r="L333" s="26" t="s">
        <v>1126</v>
      </c>
      <c r="M333" s="26"/>
    </row>
    <row r="335" spans="1:13" x14ac:dyDescent="0.3">
      <c r="A335" s="33" t="s">
        <v>1130</v>
      </c>
    </row>
    <row r="336" spans="1:13" x14ac:dyDescent="0.3">
      <c r="A336" s="20" t="s">
        <v>42</v>
      </c>
      <c r="B336" s="20" t="s">
        <v>1131</v>
      </c>
      <c r="C336" s="20" t="s">
        <v>1132</v>
      </c>
      <c r="D336" s="20" t="s">
        <v>44</v>
      </c>
      <c r="E336" s="20" t="s">
        <v>45</v>
      </c>
      <c r="F336" s="20"/>
      <c r="G336" s="20"/>
      <c r="H336" s="20"/>
    </row>
    <row r="337" spans="1:5" x14ac:dyDescent="0.3">
      <c r="A337" s="34">
        <v>46083</v>
      </c>
      <c r="B337" s="28" t="s">
        <v>64</v>
      </c>
      <c r="C337" s="28" t="s">
        <v>51</v>
      </c>
      <c r="D337" s="28"/>
      <c r="E337" s="32">
        <v>1163194.25</v>
      </c>
    </row>
    <row r="338" spans="1:5" x14ac:dyDescent="0.3">
      <c r="A338" s="34">
        <v>46084</v>
      </c>
      <c r="B338" s="28" t="s">
        <v>69</v>
      </c>
      <c r="C338" s="28" t="s">
        <v>51</v>
      </c>
      <c r="D338" s="28"/>
      <c r="E338" s="32">
        <v>6328339.5599999996</v>
      </c>
    </row>
    <row r="339" spans="1:5" x14ac:dyDescent="0.3">
      <c r="A339" s="34">
        <v>46084</v>
      </c>
      <c r="B339" s="28" t="s">
        <v>83</v>
      </c>
      <c r="C339" s="28" t="s">
        <v>51</v>
      </c>
      <c r="D339" s="28"/>
      <c r="E339" s="32">
        <v>1800000</v>
      </c>
    </row>
    <row r="340" spans="1:5" x14ac:dyDescent="0.3">
      <c r="A340" s="34">
        <v>46086</v>
      </c>
      <c r="B340" s="28" t="s">
        <v>106</v>
      </c>
      <c r="C340" s="28" t="s">
        <v>53</v>
      </c>
      <c r="D340" s="32">
        <v>234360</v>
      </c>
      <c r="E340" s="28"/>
    </row>
    <row r="341" spans="1:5" x14ac:dyDescent="0.3">
      <c r="A341" s="34">
        <v>46086</v>
      </c>
      <c r="B341" s="28" t="s">
        <v>107</v>
      </c>
      <c r="C341" s="28" t="s">
        <v>53</v>
      </c>
      <c r="D341" s="32">
        <v>238545</v>
      </c>
      <c r="E341" s="28"/>
    </row>
    <row r="342" spans="1:5" x14ac:dyDescent="0.3">
      <c r="A342" s="34">
        <v>46086</v>
      </c>
      <c r="B342" s="28" t="s">
        <v>108</v>
      </c>
      <c r="C342" s="28" t="s">
        <v>53</v>
      </c>
      <c r="D342" s="32">
        <v>7271</v>
      </c>
      <c r="E342" s="28"/>
    </row>
    <row r="343" spans="1:5" x14ac:dyDescent="0.3">
      <c r="A343" s="34">
        <v>46086</v>
      </c>
      <c r="B343" s="28" t="s">
        <v>109</v>
      </c>
      <c r="C343" s="28" t="s">
        <v>51</v>
      </c>
      <c r="D343" s="32">
        <v>106.13</v>
      </c>
      <c r="E343" s="28"/>
    </row>
    <row r="344" spans="1:5" x14ac:dyDescent="0.3">
      <c r="A344" s="34">
        <v>46086</v>
      </c>
      <c r="B344" s="28" t="s">
        <v>110</v>
      </c>
      <c r="C344" s="28" t="s">
        <v>53</v>
      </c>
      <c r="D344" s="32">
        <v>54448.25</v>
      </c>
      <c r="E344" s="28"/>
    </row>
    <row r="345" spans="1:5" x14ac:dyDescent="0.3">
      <c r="A345" s="34">
        <v>46086</v>
      </c>
      <c r="B345" s="28" t="s">
        <v>129</v>
      </c>
      <c r="C345" s="28" t="s">
        <v>51</v>
      </c>
      <c r="D345" s="28"/>
      <c r="E345" s="32">
        <v>6000000</v>
      </c>
    </row>
    <row r="346" spans="1:5" x14ac:dyDescent="0.3">
      <c r="A346" s="34">
        <v>46087</v>
      </c>
      <c r="B346" s="28" t="s">
        <v>157</v>
      </c>
      <c r="C346" s="28" t="s">
        <v>51</v>
      </c>
      <c r="D346" s="28"/>
      <c r="E346" s="32">
        <v>3170890.8</v>
      </c>
    </row>
    <row r="347" spans="1:5" x14ac:dyDescent="0.3">
      <c r="A347" s="34">
        <v>46087</v>
      </c>
      <c r="B347" s="28" t="s">
        <v>158</v>
      </c>
      <c r="C347" s="28" t="s">
        <v>51</v>
      </c>
      <c r="D347" s="32">
        <v>9000000</v>
      </c>
      <c r="E347" s="28"/>
    </row>
    <row r="348" spans="1:5" x14ac:dyDescent="0.3">
      <c r="A348" s="34">
        <v>46090</v>
      </c>
      <c r="B348" s="28" t="s">
        <v>179</v>
      </c>
      <c r="C348" s="28" t="s">
        <v>51</v>
      </c>
      <c r="D348" s="28"/>
      <c r="E348" s="32">
        <v>23500000</v>
      </c>
    </row>
    <row r="349" spans="1:5" x14ac:dyDescent="0.3">
      <c r="A349" s="34">
        <v>46091</v>
      </c>
      <c r="B349" s="28" t="s">
        <v>69</v>
      </c>
      <c r="C349" s="28" t="s">
        <v>51</v>
      </c>
      <c r="D349" s="28"/>
      <c r="E349" s="32">
        <v>225561.43</v>
      </c>
    </row>
    <row r="350" spans="1:5" x14ac:dyDescent="0.3">
      <c r="A350" s="34">
        <v>46091</v>
      </c>
      <c r="B350" s="28" t="s">
        <v>186</v>
      </c>
      <c r="C350" s="28" t="s">
        <v>53</v>
      </c>
      <c r="D350" s="32">
        <v>17695</v>
      </c>
      <c r="E350" s="28"/>
    </row>
    <row r="351" spans="1:5" x14ac:dyDescent="0.3">
      <c r="A351" s="34">
        <v>46091</v>
      </c>
      <c r="B351" s="28" t="s">
        <v>223</v>
      </c>
      <c r="C351" s="28" t="s">
        <v>51</v>
      </c>
      <c r="D351" s="32">
        <v>47296</v>
      </c>
      <c r="E351" s="28"/>
    </row>
    <row r="352" spans="1:5" x14ac:dyDescent="0.3">
      <c r="A352" s="34">
        <v>46091</v>
      </c>
      <c r="B352" s="28" t="s">
        <v>224</v>
      </c>
      <c r="C352" s="28" t="s">
        <v>51</v>
      </c>
      <c r="D352" s="32">
        <v>74322</v>
      </c>
      <c r="E352" s="28"/>
    </row>
    <row r="353" spans="1:5" x14ac:dyDescent="0.3">
      <c r="A353" s="34">
        <v>46091</v>
      </c>
      <c r="B353" s="28" t="s">
        <v>225</v>
      </c>
      <c r="C353" s="28" t="s">
        <v>51</v>
      </c>
      <c r="D353" s="32">
        <v>62038</v>
      </c>
      <c r="E353" s="28"/>
    </row>
    <row r="354" spans="1:5" x14ac:dyDescent="0.3">
      <c r="A354" s="34">
        <v>46091</v>
      </c>
      <c r="B354" s="28" t="s">
        <v>226</v>
      </c>
      <c r="C354" s="28" t="s">
        <v>51</v>
      </c>
      <c r="D354" s="32">
        <v>70023</v>
      </c>
      <c r="E354" s="28"/>
    </row>
    <row r="355" spans="1:5" x14ac:dyDescent="0.3">
      <c r="A355" s="34">
        <v>46091</v>
      </c>
      <c r="B355" s="28" t="s">
        <v>227</v>
      </c>
      <c r="C355" s="28" t="s">
        <v>51</v>
      </c>
      <c r="D355" s="32">
        <v>73708</v>
      </c>
      <c r="E355" s="28"/>
    </row>
    <row r="356" spans="1:5" x14ac:dyDescent="0.3">
      <c r="A356" s="34">
        <v>46091</v>
      </c>
      <c r="B356" s="28" t="s">
        <v>228</v>
      </c>
      <c r="C356" s="28" t="s">
        <v>51</v>
      </c>
      <c r="D356" s="32">
        <v>70637</v>
      </c>
      <c r="E356" s="28"/>
    </row>
    <row r="357" spans="1:5" x14ac:dyDescent="0.3">
      <c r="A357" s="34">
        <v>46091</v>
      </c>
      <c r="B357" s="28" t="s">
        <v>229</v>
      </c>
      <c r="C357" s="28" t="s">
        <v>51</v>
      </c>
      <c r="D357" s="32">
        <v>73094</v>
      </c>
      <c r="E357" s="28"/>
    </row>
    <row r="358" spans="1:5" x14ac:dyDescent="0.3">
      <c r="A358" s="34">
        <v>46091</v>
      </c>
      <c r="B358" s="28" t="s">
        <v>230</v>
      </c>
      <c r="C358" s="28" t="s">
        <v>51</v>
      </c>
      <c r="D358" s="32">
        <v>61424</v>
      </c>
      <c r="E358" s="28"/>
    </row>
    <row r="359" spans="1:5" x14ac:dyDescent="0.3">
      <c r="A359" s="34">
        <v>46091</v>
      </c>
      <c r="B359" s="28" t="s">
        <v>231</v>
      </c>
      <c r="C359" s="28" t="s">
        <v>51</v>
      </c>
      <c r="D359" s="32">
        <v>70023</v>
      </c>
      <c r="E359" s="28"/>
    </row>
    <row r="360" spans="1:5" x14ac:dyDescent="0.3">
      <c r="A360" s="34">
        <v>46091</v>
      </c>
      <c r="B360" s="28" t="s">
        <v>232</v>
      </c>
      <c r="C360" s="28" t="s">
        <v>51</v>
      </c>
      <c r="D360" s="32">
        <v>62038</v>
      </c>
      <c r="E360" s="28"/>
    </row>
    <row r="361" spans="1:5" x14ac:dyDescent="0.3">
      <c r="A361" s="34">
        <v>46091</v>
      </c>
      <c r="B361" s="28" t="s">
        <v>233</v>
      </c>
      <c r="C361" s="28" t="s">
        <v>51</v>
      </c>
      <c r="D361" s="32">
        <v>63266</v>
      </c>
      <c r="E361" s="28"/>
    </row>
    <row r="362" spans="1:5" x14ac:dyDescent="0.3">
      <c r="A362" s="34">
        <v>46091</v>
      </c>
      <c r="B362" s="28" t="s">
        <v>234</v>
      </c>
      <c r="C362" s="28" t="s">
        <v>51</v>
      </c>
      <c r="D362" s="32">
        <v>68180</v>
      </c>
      <c r="E362" s="28"/>
    </row>
    <row r="363" spans="1:5" x14ac:dyDescent="0.3">
      <c r="A363" s="34">
        <v>46091</v>
      </c>
      <c r="B363" s="28" t="s">
        <v>235</v>
      </c>
      <c r="C363" s="28" t="s">
        <v>51</v>
      </c>
      <c r="D363" s="32">
        <v>63266</v>
      </c>
      <c r="E363" s="28"/>
    </row>
    <row r="364" spans="1:5" x14ac:dyDescent="0.3">
      <c r="A364" s="34">
        <v>46091</v>
      </c>
      <c r="B364" s="28" t="s">
        <v>236</v>
      </c>
      <c r="C364" s="28" t="s">
        <v>51</v>
      </c>
      <c r="D364" s="32">
        <v>72480</v>
      </c>
      <c r="E364" s="28"/>
    </row>
    <row r="365" spans="1:5" x14ac:dyDescent="0.3">
      <c r="A365" s="34">
        <v>46091</v>
      </c>
      <c r="B365" s="28" t="s">
        <v>237</v>
      </c>
      <c r="C365" s="28" t="s">
        <v>51</v>
      </c>
      <c r="D365" s="32">
        <v>68180</v>
      </c>
      <c r="E365" s="28"/>
    </row>
    <row r="366" spans="1:5" x14ac:dyDescent="0.3">
      <c r="A366" s="34">
        <v>46091</v>
      </c>
      <c r="B366" s="28" t="s">
        <v>238</v>
      </c>
      <c r="C366" s="28" t="s">
        <v>51</v>
      </c>
      <c r="D366" s="32">
        <v>65109</v>
      </c>
      <c r="E366" s="28"/>
    </row>
    <row r="367" spans="1:5" x14ac:dyDescent="0.3">
      <c r="A367" s="34">
        <v>46091</v>
      </c>
      <c r="B367" s="28" t="s">
        <v>239</v>
      </c>
      <c r="C367" s="28" t="s">
        <v>51</v>
      </c>
      <c r="D367" s="32">
        <v>66952</v>
      </c>
      <c r="E367" s="28"/>
    </row>
    <row r="368" spans="1:5" x14ac:dyDescent="0.3">
      <c r="A368" s="34">
        <v>46091</v>
      </c>
      <c r="B368" s="28" t="s">
        <v>240</v>
      </c>
      <c r="C368" s="28" t="s">
        <v>51</v>
      </c>
      <c r="D368" s="32">
        <v>63266</v>
      </c>
      <c r="E368" s="28"/>
    </row>
    <row r="369" spans="1:5" x14ac:dyDescent="0.3">
      <c r="A369" s="34">
        <v>46091</v>
      </c>
      <c r="B369" s="28" t="s">
        <v>241</v>
      </c>
      <c r="C369" s="28" t="s">
        <v>51</v>
      </c>
      <c r="D369" s="32">
        <v>67566</v>
      </c>
      <c r="E369" s="28"/>
    </row>
    <row r="370" spans="1:5" x14ac:dyDescent="0.3">
      <c r="A370" s="34">
        <v>46091</v>
      </c>
      <c r="B370" s="28" t="s">
        <v>242</v>
      </c>
      <c r="C370" s="28" t="s">
        <v>51</v>
      </c>
      <c r="D370" s="32">
        <v>62038</v>
      </c>
      <c r="E370" s="28"/>
    </row>
    <row r="371" spans="1:5" x14ac:dyDescent="0.3">
      <c r="A371" s="34">
        <v>46091</v>
      </c>
      <c r="B371" s="28" t="s">
        <v>243</v>
      </c>
      <c r="C371" s="28" t="s">
        <v>51</v>
      </c>
      <c r="D371" s="32">
        <v>70023</v>
      </c>
      <c r="E371" s="28"/>
    </row>
    <row r="372" spans="1:5" x14ac:dyDescent="0.3">
      <c r="A372" s="34">
        <v>46091</v>
      </c>
      <c r="B372" s="28" t="s">
        <v>244</v>
      </c>
      <c r="C372" s="28" t="s">
        <v>51</v>
      </c>
      <c r="D372" s="32">
        <v>73708</v>
      </c>
      <c r="E372" s="28"/>
    </row>
    <row r="373" spans="1:5" x14ac:dyDescent="0.3">
      <c r="A373" s="34">
        <v>46091</v>
      </c>
      <c r="B373" s="28" t="s">
        <v>245</v>
      </c>
      <c r="C373" s="28" t="s">
        <v>51</v>
      </c>
      <c r="D373" s="32">
        <v>18427</v>
      </c>
      <c r="E373" s="28"/>
    </row>
    <row r="374" spans="1:5" x14ac:dyDescent="0.3">
      <c r="A374" s="34">
        <v>46092</v>
      </c>
      <c r="B374" s="28" t="s">
        <v>272</v>
      </c>
      <c r="C374" s="28" t="s">
        <v>51</v>
      </c>
      <c r="D374" s="28"/>
      <c r="E374" s="32">
        <v>306000.05</v>
      </c>
    </row>
    <row r="375" spans="1:5" x14ac:dyDescent="0.3">
      <c r="A375" s="34">
        <v>46093</v>
      </c>
      <c r="B375" s="28" t="s">
        <v>69</v>
      </c>
      <c r="C375" s="28" t="s">
        <v>51</v>
      </c>
      <c r="D375" s="28"/>
      <c r="E375" s="32">
        <v>2222451.65</v>
      </c>
    </row>
    <row r="376" spans="1:5" x14ac:dyDescent="0.3">
      <c r="A376" s="34">
        <v>46093</v>
      </c>
      <c r="B376" s="28" t="s">
        <v>70</v>
      </c>
      <c r="C376" s="28" t="s">
        <v>51</v>
      </c>
      <c r="D376" s="28"/>
      <c r="E376" s="32">
        <v>1979848.85</v>
      </c>
    </row>
    <row r="377" spans="1:5" x14ac:dyDescent="0.3">
      <c r="A377" s="34">
        <v>46097</v>
      </c>
      <c r="B377" s="28" t="s">
        <v>69</v>
      </c>
      <c r="C377" s="28" t="s">
        <v>51</v>
      </c>
      <c r="D377" s="28"/>
      <c r="E377" s="32">
        <v>1272130.3700000001</v>
      </c>
    </row>
    <row r="378" spans="1:5" x14ac:dyDescent="0.3">
      <c r="A378" s="34">
        <v>46099</v>
      </c>
      <c r="B378" s="28" t="s">
        <v>70</v>
      </c>
      <c r="C378" s="28" t="s">
        <v>51</v>
      </c>
      <c r="D378" s="28"/>
      <c r="E378" s="32">
        <v>5924707.6299999999</v>
      </c>
    </row>
    <row r="379" spans="1:5" x14ac:dyDescent="0.3">
      <c r="A379" s="34">
        <v>46100</v>
      </c>
      <c r="B379" s="28" t="s">
        <v>410</v>
      </c>
      <c r="C379" s="28" t="s">
        <v>51</v>
      </c>
      <c r="D379" s="32">
        <v>8000000</v>
      </c>
      <c r="E379" s="28"/>
    </row>
    <row r="380" spans="1:5" x14ac:dyDescent="0.3">
      <c r="A380" s="34">
        <v>46107</v>
      </c>
      <c r="B380" s="28" t="s">
        <v>69</v>
      </c>
      <c r="C380" s="28" t="s">
        <v>51</v>
      </c>
      <c r="D380" s="28"/>
      <c r="E380" s="32">
        <v>2578525.25</v>
      </c>
    </row>
    <row r="381" spans="1:5" x14ac:dyDescent="0.3">
      <c r="A381" s="34">
        <v>46108</v>
      </c>
      <c r="B381" s="28" t="s">
        <v>502</v>
      </c>
      <c r="C381" s="28" t="s">
        <v>51</v>
      </c>
      <c r="D381" s="32">
        <v>9000000</v>
      </c>
      <c r="E381" s="28"/>
    </row>
    <row r="382" spans="1:5" x14ac:dyDescent="0.3">
      <c r="A382" s="34">
        <v>46112</v>
      </c>
      <c r="B382" s="28" t="s">
        <v>557</v>
      </c>
      <c r="C382" s="28" t="s">
        <v>51</v>
      </c>
      <c r="D382" s="32">
        <v>1549785</v>
      </c>
      <c r="E382" s="28"/>
    </row>
    <row r="383" spans="1:5" x14ac:dyDescent="0.3">
      <c r="A383" s="34">
        <v>46112</v>
      </c>
      <c r="B383" s="28" t="s">
        <v>558</v>
      </c>
      <c r="C383" s="28" t="s">
        <v>51</v>
      </c>
      <c r="D383" s="32">
        <v>2450000</v>
      </c>
      <c r="E383" s="28"/>
    </row>
    <row r="384" spans="1:5" x14ac:dyDescent="0.3">
      <c r="A384" s="34">
        <v>46112</v>
      </c>
      <c r="B384" s="28" t="s">
        <v>559</v>
      </c>
      <c r="C384" s="28" t="s">
        <v>51</v>
      </c>
      <c r="D384" s="32">
        <v>1500000</v>
      </c>
      <c r="E384" s="28"/>
    </row>
    <row r="385" spans="1:5" x14ac:dyDescent="0.3">
      <c r="A385" s="34">
        <v>46112</v>
      </c>
      <c r="B385" s="28" t="s">
        <v>560</v>
      </c>
      <c r="C385" s="28" t="s">
        <v>51</v>
      </c>
      <c r="D385" s="32">
        <v>1209582</v>
      </c>
      <c r="E385" s="28"/>
    </row>
    <row r="386" spans="1:5" x14ac:dyDescent="0.3">
      <c r="A386" s="34">
        <v>46112</v>
      </c>
      <c r="B386" s="28" t="s">
        <v>561</v>
      </c>
      <c r="C386" s="28" t="s">
        <v>51</v>
      </c>
      <c r="D386" s="32">
        <v>1396670</v>
      </c>
      <c r="E386" s="28"/>
    </row>
    <row r="387" spans="1:5" x14ac:dyDescent="0.3">
      <c r="A387" s="34">
        <v>46112</v>
      </c>
      <c r="B387" s="28" t="s">
        <v>562</v>
      </c>
      <c r="C387" s="28" t="s">
        <v>51</v>
      </c>
      <c r="D387" s="32">
        <v>1138576</v>
      </c>
      <c r="E387" s="28"/>
    </row>
    <row r="388" spans="1:5" x14ac:dyDescent="0.3">
      <c r="A388" s="34">
        <v>46112</v>
      </c>
      <c r="B388" s="28" t="s">
        <v>563</v>
      </c>
      <c r="C388" s="28" t="s">
        <v>51</v>
      </c>
      <c r="D388" s="32">
        <v>2502157</v>
      </c>
      <c r="E388" s="28"/>
    </row>
    <row r="389" spans="1:5" x14ac:dyDescent="0.3">
      <c r="A389" s="34">
        <v>46112</v>
      </c>
      <c r="B389" s="28" t="s">
        <v>564</v>
      </c>
      <c r="C389" s="28" t="s">
        <v>51</v>
      </c>
      <c r="D389" s="32">
        <v>1409610</v>
      </c>
      <c r="E389" s="28"/>
    </row>
    <row r="390" spans="1:5" x14ac:dyDescent="0.3">
      <c r="A390" s="34">
        <v>46112</v>
      </c>
      <c r="B390" s="28" t="s">
        <v>565</v>
      </c>
      <c r="C390" s="28" t="s">
        <v>51</v>
      </c>
      <c r="D390" s="32">
        <v>932782</v>
      </c>
      <c r="E390" s="28"/>
    </row>
    <row r="391" spans="1:5" x14ac:dyDescent="0.3">
      <c r="A391" s="34">
        <v>46112</v>
      </c>
      <c r="B391" s="28" t="s">
        <v>566</v>
      </c>
      <c r="C391" s="28" t="s">
        <v>51</v>
      </c>
      <c r="D391" s="32">
        <v>2500000</v>
      </c>
      <c r="E391" s="28"/>
    </row>
    <row r="392" spans="1:5" x14ac:dyDescent="0.3">
      <c r="A392" s="34">
        <v>46112</v>
      </c>
      <c r="B392" s="28" t="s">
        <v>567</v>
      </c>
      <c r="C392" s="28" t="s">
        <v>51</v>
      </c>
      <c r="D392" s="32">
        <v>1559691</v>
      </c>
      <c r="E392" s="28"/>
    </row>
    <row r="393" spans="1:5" x14ac:dyDescent="0.3">
      <c r="A393" s="34">
        <v>46112</v>
      </c>
      <c r="B393" s="28" t="s">
        <v>568</v>
      </c>
      <c r="C393" s="28" t="s">
        <v>51</v>
      </c>
      <c r="D393" s="32">
        <v>1558338</v>
      </c>
      <c r="E393" s="28"/>
    </row>
    <row r="394" spans="1:5" x14ac:dyDescent="0.3">
      <c r="A394" s="34">
        <v>46112</v>
      </c>
      <c r="B394" s="28" t="s">
        <v>569</v>
      </c>
      <c r="C394" s="28" t="s">
        <v>51</v>
      </c>
      <c r="D394" s="32">
        <v>1358204</v>
      </c>
      <c r="E394" s="28"/>
    </row>
    <row r="395" spans="1:5" x14ac:dyDescent="0.3">
      <c r="A395" s="34">
        <v>46112</v>
      </c>
      <c r="B395" s="28" t="s">
        <v>570</v>
      </c>
      <c r="C395" s="28" t="s">
        <v>51</v>
      </c>
      <c r="D395" s="32">
        <v>1550633</v>
      </c>
      <c r="E395" s="28"/>
    </row>
    <row r="396" spans="1:5" x14ac:dyDescent="0.3">
      <c r="A396" s="34">
        <v>46112</v>
      </c>
      <c r="B396" s="28" t="s">
        <v>571</v>
      </c>
      <c r="C396" s="28" t="s">
        <v>51</v>
      </c>
      <c r="D396" s="32">
        <v>2114000</v>
      </c>
      <c r="E396" s="28"/>
    </row>
    <row r="397" spans="1:5" x14ac:dyDescent="0.3">
      <c r="A397" s="34">
        <v>46112</v>
      </c>
      <c r="B397" s="28" t="s">
        <v>572</v>
      </c>
      <c r="C397" s="28" t="s">
        <v>51</v>
      </c>
      <c r="D397" s="32">
        <v>1500000</v>
      </c>
      <c r="E397" s="28"/>
    </row>
    <row r="398" spans="1:5" x14ac:dyDescent="0.3">
      <c r="A398" s="34">
        <v>46112</v>
      </c>
      <c r="B398" s="28" t="s">
        <v>573</v>
      </c>
      <c r="C398" s="28" t="s">
        <v>51</v>
      </c>
      <c r="D398" s="32">
        <v>1422877</v>
      </c>
      <c r="E398" s="28"/>
    </row>
    <row r="399" spans="1:5" x14ac:dyDescent="0.3">
      <c r="A399" s="34">
        <v>46112</v>
      </c>
      <c r="B399" s="28" t="s">
        <v>574</v>
      </c>
      <c r="C399" s="28" t="s">
        <v>51</v>
      </c>
      <c r="D399" s="32">
        <v>2035977</v>
      </c>
      <c r="E399" s="28"/>
    </row>
    <row r="400" spans="1:5" x14ac:dyDescent="0.3">
      <c r="A400" s="34">
        <v>46112</v>
      </c>
      <c r="B400" s="28" t="s">
        <v>575</v>
      </c>
      <c r="C400" s="28" t="s">
        <v>51</v>
      </c>
      <c r="D400" s="32">
        <v>1412040</v>
      </c>
      <c r="E400" s="28"/>
    </row>
    <row r="401" spans="1:5" x14ac:dyDescent="0.3">
      <c r="A401" s="34">
        <v>46112</v>
      </c>
      <c r="B401" s="28" t="s">
        <v>576</v>
      </c>
      <c r="C401" s="28" t="s">
        <v>51</v>
      </c>
      <c r="D401" s="32">
        <v>1711438</v>
      </c>
      <c r="E401" s="28"/>
    </row>
    <row r="402" spans="1:5" x14ac:dyDescent="0.3">
      <c r="A402" s="34">
        <v>46112</v>
      </c>
      <c r="B402" s="28" t="s">
        <v>577</v>
      </c>
      <c r="C402" s="28" t="s">
        <v>51</v>
      </c>
      <c r="D402" s="32">
        <v>2500000</v>
      </c>
      <c r="E402" s="28"/>
    </row>
    <row r="403" spans="1:5" x14ac:dyDescent="0.3">
      <c r="A403" s="34">
        <v>46112</v>
      </c>
      <c r="B403" s="28" t="s">
        <v>578</v>
      </c>
      <c r="C403" s="28" t="s">
        <v>51</v>
      </c>
      <c r="D403" s="32">
        <v>1373064</v>
      </c>
      <c r="E403" s="28"/>
    </row>
    <row r="404" spans="1:5" x14ac:dyDescent="0.3">
      <c r="A404" s="34">
        <v>46112</v>
      </c>
      <c r="B404" s="28" t="s">
        <v>579</v>
      </c>
      <c r="C404" s="28" t="s">
        <v>51</v>
      </c>
      <c r="D404" s="32">
        <v>1489589</v>
      </c>
      <c r="E404" s="28"/>
    </row>
    <row r="405" spans="1:5" x14ac:dyDescent="0.3">
      <c r="A405" s="34">
        <v>46112</v>
      </c>
      <c r="B405" s="28" t="s">
        <v>580</v>
      </c>
      <c r="C405" s="28" t="s">
        <v>51</v>
      </c>
      <c r="D405" s="32">
        <v>1518181</v>
      </c>
      <c r="E405" s="28"/>
    </row>
    <row r="406" spans="1:5" x14ac:dyDescent="0.3">
      <c r="A406" s="34">
        <v>46112</v>
      </c>
      <c r="B406" s="28" t="s">
        <v>581</v>
      </c>
      <c r="C406" s="28" t="s">
        <v>51</v>
      </c>
      <c r="D406" s="32">
        <v>2000000</v>
      </c>
      <c r="E406" s="28"/>
    </row>
    <row r="407" spans="1:5" x14ac:dyDescent="0.3">
      <c r="A407" s="34">
        <v>46112</v>
      </c>
      <c r="B407" s="28" t="s">
        <v>582</v>
      </c>
      <c r="C407" s="28" t="s">
        <v>51</v>
      </c>
      <c r="D407" s="32">
        <v>291284</v>
      </c>
      <c r="E407" s="28"/>
    </row>
    <row r="408" spans="1:5" x14ac:dyDescent="0.3">
      <c r="A408" s="34">
        <v>46112</v>
      </c>
      <c r="B408" s="28" t="s">
        <v>583</v>
      </c>
      <c r="C408" s="28" t="s">
        <v>51</v>
      </c>
      <c r="D408" s="32">
        <v>1500000</v>
      </c>
      <c r="E408" s="28"/>
    </row>
    <row r="409" spans="1:5" x14ac:dyDescent="0.3">
      <c r="A409" s="34">
        <v>46112</v>
      </c>
      <c r="B409" s="28" t="s">
        <v>584</v>
      </c>
      <c r="C409" s="28" t="s">
        <v>51</v>
      </c>
      <c r="D409" s="32">
        <v>1028643</v>
      </c>
      <c r="E409" s="28"/>
    </row>
    <row r="410" spans="1:5" x14ac:dyDescent="0.3">
      <c r="A410" s="34">
        <v>46112</v>
      </c>
      <c r="B410" s="28" t="s">
        <v>585</v>
      </c>
      <c r="C410" s="28" t="s">
        <v>51</v>
      </c>
      <c r="D410" s="32">
        <v>1167855</v>
      </c>
      <c r="E410" s="28"/>
    </row>
    <row r="411" spans="1:5" x14ac:dyDescent="0.3">
      <c r="A411" s="34">
        <v>46112</v>
      </c>
      <c r="B411" s="28" t="s">
        <v>586</v>
      </c>
      <c r="C411" s="28" t="s">
        <v>51</v>
      </c>
      <c r="D411" s="32">
        <v>1219443</v>
      </c>
      <c r="E411" s="28"/>
    </row>
    <row r="412" spans="1:5" x14ac:dyDescent="0.3">
      <c r="A412" s="34">
        <v>46112</v>
      </c>
      <c r="B412" s="28" t="s">
        <v>587</v>
      </c>
      <c r="C412" s="28" t="s">
        <v>51</v>
      </c>
      <c r="D412" s="32">
        <v>1422877</v>
      </c>
      <c r="E412" s="28"/>
    </row>
    <row r="413" spans="1:5" x14ac:dyDescent="0.3">
      <c r="A413" s="34">
        <v>46112</v>
      </c>
      <c r="B413" s="28" t="s">
        <v>588</v>
      </c>
      <c r="C413" s="28" t="s">
        <v>51</v>
      </c>
      <c r="D413" s="32">
        <v>1432964</v>
      </c>
      <c r="E413" s="28"/>
    </row>
    <row r="414" spans="1:5" x14ac:dyDescent="0.3">
      <c r="A414" s="34">
        <v>46112</v>
      </c>
      <c r="B414" s="28" t="s">
        <v>589</v>
      </c>
      <c r="C414" s="28" t="s">
        <v>51</v>
      </c>
      <c r="D414" s="32">
        <v>1432336</v>
      </c>
      <c r="E414" s="28"/>
    </row>
    <row r="415" spans="1:5" x14ac:dyDescent="0.3">
      <c r="A415" s="34">
        <v>46112</v>
      </c>
      <c r="B415" s="28" t="s">
        <v>590</v>
      </c>
      <c r="C415" s="28" t="s">
        <v>131</v>
      </c>
      <c r="D415" s="32">
        <v>2000000</v>
      </c>
      <c r="E415" s="28"/>
    </row>
    <row r="416" spans="1:5" x14ac:dyDescent="0.3">
      <c r="A416" s="23" t="s">
        <v>1133</v>
      </c>
      <c r="B416" s="22"/>
      <c r="C416" s="22"/>
      <c r="D416" s="19">
        <f>SUM(D337:D415)</f>
        <v>81228085.379999995</v>
      </c>
      <c r="E416" s="19">
        <f>SUM(E337:E415)</f>
        <v>56471649.839999996</v>
      </c>
    </row>
    <row r="417" spans="1:8" x14ac:dyDescent="0.3">
      <c r="C417" s="23" t="s">
        <v>13</v>
      </c>
      <c r="D417" s="35">
        <f>D416</f>
        <v>81228085.379999995</v>
      </c>
      <c r="E417" s="35">
        <f>E416</f>
        <v>56471649.839999996</v>
      </c>
      <c r="F417" s="19">
        <f>D416-E416</f>
        <v>24756435.539999999</v>
      </c>
      <c r="G417" s="8" t="s">
        <v>1134</v>
      </c>
    </row>
    <row r="419" spans="1:8" x14ac:dyDescent="0.3">
      <c r="A419" s="33" t="s">
        <v>1135</v>
      </c>
    </row>
    <row r="420" spans="1:8" x14ac:dyDescent="0.3">
      <c r="A420" s="20" t="s">
        <v>42</v>
      </c>
      <c r="B420" s="20" t="s">
        <v>1136</v>
      </c>
      <c r="C420" s="20" t="s">
        <v>1131</v>
      </c>
      <c r="D420" s="20" t="s">
        <v>597</v>
      </c>
      <c r="E420" s="20" t="s">
        <v>598</v>
      </c>
      <c r="F420" s="20"/>
      <c r="G420" s="20"/>
      <c r="H420" s="20"/>
    </row>
    <row r="421" spans="1:8" x14ac:dyDescent="0.3">
      <c r="A421" s="34">
        <v>46083</v>
      </c>
      <c r="B421" s="28" t="s">
        <v>599</v>
      </c>
      <c r="C421" s="28" t="s">
        <v>600</v>
      </c>
      <c r="D421" s="32">
        <v>3934033.17</v>
      </c>
      <c r="E421" s="28"/>
    </row>
    <row r="422" spans="1:8" x14ac:dyDescent="0.3">
      <c r="A422" s="34">
        <v>46083</v>
      </c>
      <c r="B422" s="28" t="s">
        <v>599</v>
      </c>
      <c r="C422" s="28" t="s">
        <v>600</v>
      </c>
      <c r="D422" s="32">
        <v>697104.87</v>
      </c>
      <c r="E422" s="28"/>
    </row>
    <row r="423" spans="1:8" x14ac:dyDescent="0.3">
      <c r="A423" s="34">
        <v>46083</v>
      </c>
      <c r="B423" s="28" t="s">
        <v>599</v>
      </c>
      <c r="C423" s="28" t="s">
        <v>600</v>
      </c>
      <c r="D423" s="32">
        <v>364258.4</v>
      </c>
      <c r="E423" s="28"/>
    </row>
    <row r="424" spans="1:8" x14ac:dyDescent="0.3">
      <c r="A424" s="34">
        <v>46083</v>
      </c>
      <c r="B424" s="28" t="s">
        <v>599</v>
      </c>
      <c r="C424" s="28" t="s">
        <v>600</v>
      </c>
      <c r="D424" s="32">
        <v>1697201.52</v>
      </c>
      <c r="E424" s="28"/>
    </row>
    <row r="425" spans="1:8" x14ac:dyDescent="0.3">
      <c r="A425" s="34">
        <v>46083</v>
      </c>
      <c r="B425" s="28" t="s">
        <v>599</v>
      </c>
      <c r="C425" s="28" t="s">
        <v>600</v>
      </c>
      <c r="D425" s="32">
        <v>798935.85</v>
      </c>
      <c r="E425" s="28"/>
    </row>
    <row r="426" spans="1:8" x14ac:dyDescent="0.3">
      <c r="A426" s="34">
        <v>46090</v>
      </c>
      <c r="B426" s="28" t="s">
        <v>708</v>
      </c>
      <c r="C426" s="28" t="s">
        <v>600</v>
      </c>
      <c r="D426" s="32">
        <v>30033.72</v>
      </c>
      <c r="E426" s="28"/>
    </row>
    <row r="427" spans="1:8" x14ac:dyDescent="0.3">
      <c r="A427" s="34">
        <v>46090</v>
      </c>
      <c r="B427" s="28" t="s">
        <v>708</v>
      </c>
      <c r="C427" s="28" t="s">
        <v>600</v>
      </c>
      <c r="D427" s="32">
        <v>195527.71</v>
      </c>
      <c r="E427" s="28"/>
    </row>
    <row r="428" spans="1:8" x14ac:dyDescent="0.3">
      <c r="A428" s="34">
        <v>46091</v>
      </c>
      <c r="B428" s="28" t="s">
        <v>760</v>
      </c>
      <c r="C428" s="28" t="s">
        <v>600</v>
      </c>
      <c r="D428" s="28"/>
      <c r="E428" s="32">
        <v>1487064</v>
      </c>
    </row>
    <row r="429" spans="1:8" x14ac:dyDescent="0.3">
      <c r="A429" s="34">
        <v>46092</v>
      </c>
      <c r="B429" s="28" t="s">
        <v>780</v>
      </c>
      <c r="C429" s="28" t="s">
        <v>600</v>
      </c>
      <c r="D429" s="32">
        <v>67325.350000000006</v>
      </c>
      <c r="E429" s="28"/>
    </row>
    <row r="430" spans="1:8" x14ac:dyDescent="0.3">
      <c r="A430" s="34">
        <v>46092</v>
      </c>
      <c r="B430" s="28" t="s">
        <v>780</v>
      </c>
      <c r="C430" s="28" t="s">
        <v>600</v>
      </c>
      <c r="D430" s="32">
        <v>398540</v>
      </c>
      <c r="E430" s="28"/>
    </row>
    <row r="431" spans="1:8" x14ac:dyDescent="0.3">
      <c r="A431" s="34">
        <v>46092</v>
      </c>
      <c r="B431" s="28" t="s">
        <v>780</v>
      </c>
      <c r="C431" s="28" t="s">
        <v>600</v>
      </c>
      <c r="D431" s="32">
        <v>1061307.1000000001</v>
      </c>
      <c r="E431" s="28"/>
    </row>
    <row r="432" spans="1:8" x14ac:dyDescent="0.3">
      <c r="A432" s="34">
        <v>46092</v>
      </c>
      <c r="B432" s="28" t="s">
        <v>780</v>
      </c>
      <c r="C432" s="28" t="s">
        <v>600</v>
      </c>
      <c r="D432" s="32">
        <v>520001.75</v>
      </c>
      <c r="E432" s="28"/>
    </row>
    <row r="433" spans="1:5" x14ac:dyDescent="0.3">
      <c r="A433" s="34">
        <v>46092</v>
      </c>
      <c r="B433" s="28" t="s">
        <v>780</v>
      </c>
      <c r="C433" s="28" t="s">
        <v>600</v>
      </c>
      <c r="D433" s="32">
        <v>80789.899999999994</v>
      </c>
      <c r="E433" s="28"/>
    </row>
    <row r="434" spans="1:5" x14ac:dyDescent="0.3">
      <c r="A434" s="34">
        <v>46092</v>
      </c>
      <c r="B434" s="28" t="s">
        <v>780</v>
      </c>
      <c r="C434" s="28" t="s">
        <v>600</v>
      </c>
      <c r="D434" s="32">
        <v>629304.9</v>
      </c>
      <c r="E434" s="28"/>
    </row>
    <row r="435" spans="1:5" x14ac:dyDescent="0.3">
      <c r="A435" s="34">
        <v>46092</v>
      </c>
      <c r="B435" s="28" t="s">
        <v>780</v>
      </c>
      <c r="C435" s="28" t="s">
        <v>600</v>
      </c>
      <c r="D435" s="32">
        <v>1445031.5</v>
      </c>
      <c r="E435" s="28"/>
    </row>
    <row r="436" spans="1:5" x14ac:dyDescent="0.3">
      <c r="A436" s="34">
        <v>46094</v>
      </c>
      <c r="B436" s="28" t="s">
        <v>837</v>
      </c>
      <c r="C436" s="28" t="s">
        <v>600</v>
      </c>
      <c r="D436" s="32">
        <v>204941.66</v>
      </c>
      <c r="E436" s="28"/>
    </row>
    <row r="437" spans="1:5" x14ac:dyDescent="0.3">
      <c r="A437" s="34">
        <v>46094</v>
      </c>
      <c r="B437" s="28" t="s">
        <v>837</v>
      </c>
      <c r="C437" s="28" t="s">
        <v>600</v>
      </c>
      <c r="D437" s="32">
        <v>1036888</v>
      </c>
      <c r="E437" s="28"/>
    </row>
    <row r="438" spans="1:5" x14ac:dyDescent="0.3">
      <c r="A438" s="34">
        <v>46094</v>
      </c>
      <c r="B438" s="28" t="s">
        <v>837</v>
      </c>
      <c r="C438" s="28" t="s">
        <v>600</v>
      </c>
      <c r="D438" s="32">
        <v>30300.71</v>
      </c>
      <c r="E438" s="28"/>
    </row>
    <row r="439" spans="1:5" x14ac:dyDescent="0.3">
      <c r="A439" s="34">
        <v>46098</v>
      </c>
      <c r="B439" s="28" t="s">
        <v>879</v>
      </c>
      <c r="C439" s="28" t="s">
        <v>600</v>
      </c>
      <c r="D439" s="32">
        <v>747851.08</v>
      </c>
      <c r="E439" s="28"/>
    </row>
    <row r="440" spans="1:5" x14ac:dyDescent="0.3">
      <c r="A440" s="34">
        <v>46098</v>
      </c>
      <c r="B440" s="28" t="s">
        <v>897</v>
      </c>
      <c r="C440" s="28" t="s">
        <v>600</v>
      </c>
      <c r="D440" s="32">
        <v>5126856.55</v>
      </c>
      <c r="E440" s="28"/>
    </row>
    <row r="441" spans="1:5" x14ac:dyDescent="0.3">
      <c r="A441" s="34">
        <v>46098</v>
      </c>
      <c r="B441" s="28" t="s">
        <v>899</v>
      </c>
      <c r="C441" s="28" t="s">
        <v>600</v>
      </c>
      <c r="D441" s="32">
        <v>50000</v>
      </c>
      <c r="E441" s="28"/>
    </row>
    <row r="442" spans="1:5" x14ac:dyDescent="0.3">
      <c r="A442" s="34">
        <v>46104</v>
      </c>
      <c r="B442" s="28" t="s">
        <v>956</v>
      </c>
      <c r="C442" s="28" t="s">
        <v>600</v>
      </c>
      <c r="D442" s="32">
        <v>1932989.05</v>
      </c>
      <c r="E442" s="28"/>
    </row>
    <row r="443" spans="1:5" x14ac:dyDescent="0.3">
      <c r="A443" s="34">
        <v>46112</v>
      </c>
      <c r="B443" s="28" t="s">
        <v>1060</v>
      </c>
      <c r="C443" s="28" t="s">
        <v>600</v>
      </c>
      <c r="D443" s="28"/>
      <c r="E443" s="32">
        <v>1000000</v>
      </c>
    </row>
    <row r="444" spans="1:5" x14ac:dyDescent="0.3">
      <c r="A444" s="34">
        <v>46112</v>
      </c>
      <c r="B444" s="28" t="s">
        <v>1065</v>
      </c>
      <c r="C444" s="28" t="s">
        <v>600</v>
      </c>
      <c r="D444" s="28"/>
      <c r="E444" s="32">
        <v>51188596</v>
      </c>
    </row>
    <row r="445" spans="1:5" x14ac:dyDescent="0.3">
      <c r="A445" s="34">
        <v>46112</v>
      </c>
      <c r="B445" s="28" t="s">
        <v>1070</v>
      </c>
      <c r="C445" s="28" t="s">
        <v>600</v>
      </c>
      <c r="D445" s="32">
        <v>1000000</v>
      </c>
      <c r="E445" s="28"/>
    </row>
    <row r="446" spans="1:5" x14ac:dyDescent="0.3">
      <c r="A446" s="34">
        <v>46112</v>
      </c>
      <c r="B446" s="28" t="s">
        <v>1073</v>
      </c>
      <c r="C446" s="28" t="s">
        <v>600</v>
      </c>
      <c r="D446" s="32">
        <v>1149745.5900000001</v>
      </c>
      <c r="E446" s="28"/>
    </row>
    <row r="447" spans="1:5" x14ac:dyDescent="0.3">
      <c r="A447" s="34">
        <v>46112</v>
      </c>
      <c r="B447" s="28" t="s">
        <v>1076</v>
      </c>
      <c r="C447" s="28" t="s">
        <v>600</v>
      </c>
      <c r="D447" s="32">
        <v>645536.19999999995</v>
      </c>
      <c r="E447" s="28"/>
    </row>
    <row r="448" spans="1:5" x14ac:dyDescent="0.3">
      <c r="A448" s="34">
        <v>46112</v>
      </c>
      <c r="B448" s="28" t="s">
        <v>1087</v>
      </c>
      <c r="C448" s="28" t="s">
        <v>600</v>
      </c>
      <c r="D448" s="28"/>
      <c r="E448" s="32">
        <v>5728785.3499999996</v>
      </c>
    </row>
    <row r="449" spans="1:5" x14ac:dyDescent="0.3">
      <c r="A449" s="22"/>
      <c r="B449" s="22"/>
      <c r="C449" s="23" t="s">
        <v>593</v>
      </c>
      <c r="D449" s="19">
        <f>SUM(D421:D448)</f>
        <v>23844504.580000002</v>
      </c>
      <c r="E449" s="19">
        <f>SUM(E421:E448)</f>
        <v>59404445.350000001</v>
      </c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4"/>
  <sheetViews>
    <sheetView workbookViewId="0"/>
  </sheetViews>
  <sheetFormatPr baseColWidth="10" defaultColWidth="8.88671875" defaultRowHeight="14.4" x14ac:dyDescent="0.3"/>
  <cols>
    <col min="1" max="1" width="22" customWidth="1"/>
    <col min="2" max="2" width="50" customWidth="1"/>
    <col min="3" max="3" width="8" customWidth="1"/>
    <col min="4" max="5" width="18" customWidth="1"/>
  </cols>
  <sheetData>
    <row r="1" spans="1:5" ht="17.399999999999999" x14ac:dyDescent="0.3">
      <c r="A1" s="42" t="s">
        <v>1137</v>
      </c>
      <c r="B1" s="38"/>
      <c r="C1" s="38"/>
      <c r="D1" s="38"/>
      <c r="E1" s="38"/>
    </row>
    <row r="3" spans="1:5" x14ac:dyDescent="0.3">
      <c r="A3" s="20" t="s">
        <v>1138</v>
      </c>
      <c r="B3" s="20" t="s">
        <v>1139</v>
      </c>
      <c r="C3" s="20" t="s">
        <v>1140</v>
      </c>
      <c r="D3" s="20" t="s">
        <v>1141</v>
      </c>
      <c r="E3" s="20" t="s">
        <v>1142</v>
      </c>
    </row>
    <row r="4" spans="1:5" x14ac:dyDescent="0.3">
      <c r="A4" s="13" t="s">
        <v>33</v>
      </c>
      <c r="B4" s="13" t="s">
        <v>1143</v>
      </c>
      <c r="C4" s="36">
        <v>8</v>
      </c>
      <c r="D4" s="14">
        <v>116164.83</v>
      </c>
      <c r="E4" s="14">
        <v>0</v>
      </c>
    </row>
    <row r="5" spans="1:5" x14ac:dyDescent="0.3">
      <c r="A5" s="13" t="s">
        <v>33</v>
      </c>
      <c r="B5" s="13" t="s">
        <v>1144</v>
      </c>
      <c r="C5" s="36">
        <v>1</v>
      </c>
      <c r="D5" s="14">
        <v>57500</v>
      </c>
      <c r="E5" s="14">
        <v>0</v>
      </c>
    </row>
    <row r="6" spans="1:5" x14ac:dyDescent="0.3">
      <c r="A6" s="13" t="s">
        <v>33</v>
      </c>
      <c r="B6" s="13" t="s">
        <v>1145</v>
      </c>
      <c r="C6" s="36">
        <v>1</v>
      </c>
      <c r="D6" s="14">
        <v>13825</v>
      </c>
      <c r="E6" s="14">
        <v>0</v>
      </c>
    </row>
    <row r="7" spans="1:5" x14ac:dyDescent="0.3">
      <c r="A7" s="13" t="s">
        <v>33</v>
      </c>
      <c r="B7" s="13" t="s">
        <v>1146</v>
      </c>
      <c r="C7" s="36">
        <v>1</v>
      </c>
      <c r="D7" s="14">
        <v>1485</v>
      </c>
      <c r="E7" s="14">
        <v>0</v>
      </c>
    </row>
    <row r="8" spans="1:5" x14ac:dyDescent="0.3">
      <c r="A8" s="13" t="s">
        <v>33</v>
      </c>
      <c r="B8" s="13" t="s">
        <v>1147</v>
      </c>
      <c r="C8" s="36">
        <v>1</v>
      </c>
      <c r="D8" s="14">
        <v>1485</v>
      </c>
      <c r="E8" s="14">
        <v>0</v>
      </c>
    </row>
    <row r="9" spans="1:5" x14ac:dyDescent="0.3">
      <c r="A9" s="13" t="s">
        <v>33</v>
      </c>
      <c r="B9" s="13" t="s">
        <v>1148</v>
      </c>
      <c r="C9" s="36">
        <v>1</v>
      </c>
      <c r="D9" s="14">
        <v>1485</v>
      </c>
      <c r="E9" s="14">
        <v>0</v>
      </c>
    </row>
    <row r="10" spans="1:5" x14ac:dyDescent="0.3">
      <c r="A10" s="13" t="s">
        <v>33</v>
      </c>
      <c r="B10" s="13" t="s">
        <v>1149</v>
      </c>
      <c r="C10" s="36">
        <v>1</v>
      </c>
      <c r="D10" s="14">
        <v>1485</v>
      </c>
      <c r="E10" s="14">
        <v>0</v>
      </c>
    </row>
    <row r="11" spans="1:5" x14ac:dyDescent="0.3">
      <c r="A11" s="13" t="s">
        <v>33</v>
      </c>
      <c r="B11" s="13" t="s">
        <v>1150</v>
      </c>
      <c r="C11" s="36">
        <v>1</v>
      </c>
      <c r="D11" s="14">
        <v>1485</v>
      </c>
      <c r="E11" s="14">
        <v>0</v>
      </c>
    </row>
    <row r="12" spans="1:5" x14ac:dyDescent="0.3">
      <c r="A12" s="13" t="s">
        <v>33</v>
      </c>
      <c r="B12" s="13" t="s">
        <v>1151</v>
      </c>
      <c r="C12" s="36">
        <v>1</v>
      </c>
      <c r="D12" s="14">
        <v>1485</v>
      </c>
      <c r="E12" s="14">
        <v>0</v>
      </c>
    </row>
    <row r="13" spans="1:5" x14ac:dyDescent="0.3">
      <c r="A13" s="13" t="s">
        <v>33</v>
      </c>
      <c r="B13" s="13" t="s">
        <v>1152</v>
      </c>
      <c r="C13" s="36">
        <v>1</v>
      </c>
      <c r="D13" s="14">
        <v>1485</v>
      </c>
      <c r="E13" s="14">
        <v>0</v>
      </c>
    </row>
    <row r="14" spans="1:5" x14ac:dyDescent="0.3">
      <c r="A14" s="13" t="s">
        <v>33</v>
      </c>
      <c r="B14" s="13" t="s">
        <v>1153</v>
      </c>
      <c r="C14" s="36">
        <v>1</v>
      </c>
      <c r="D14" s="14">
        <v>1485</v>
      </c>
      <c r="E14" s="14">
        <v>0</v>
      </c>
    </row>
    <row r="15" spans="1:5" x14ac:dyDescent="0.3">
      <c r="A15" s="13" t="s">
        <v>33</v>
      </c>
      <c r="B15" s="13" t="s">
        <v>1154</v>
      </c>
      <c r="C15" s="36">
        <v>1</v>
      </c>
      <c r="D15" s="14">
        <v>1485</v>
      </c>
      <c r="E15" s="14">
        <v>0</v>
      </c>
    </row>
    <row r="16" spans="1:5" x14ac:dyDescent="0.3">
      <c r="A16" s="13" t="s">
        <v>33</v>
      </c>
      <c r="B16" s="13" t="s">
        <v>1155</v>
      </c>
      <c r="C16" s="36">
        <v>1</v>
      </c>
      <c r="D16" s="14">
        <v>1485</v>
      </c>
      <c r="E16" s="14">
        <v>0</v>
      </c>
    </row>
    <row r="17" spans="1:5" x14ac:dyDescent="0.3">
      <c r="A17" s="13" t="s">
        <v>33</v>
      </c>
      <c r="B17" s="13" t="s">
        <v>1156</v>
      </c>
      <c r="C17" s="36">
        <v>1</v>
      </c>
      <c r="D17" s="14">
        <v>1485</v>
      </c>
      <c r="E17" s="14">
        <v>0</v>
      </c>
    </row>
    <row r="18" spans="1:5" x14ac:dyDescent="0.3">
      <c r="A18" s="13" t="s">
        <v>33</v>
      </c>
      <c r="B18" s="13" t="s">
        <v>1157</v>
      </c>
      <c r="C18" s="36">
        <v>1</v>
      </c>
      <c r="D18" s="14">
        <v>1485</v>
      </c>
      <c r="E18" s="14">
        <v>0</v>
      </c>
    </row>
    <row r="19" spans="1:5" x14ac:dyDescent="0.3">
      <c r="A19" s="13" t="s">
        <v>33</v>
      </c>
      <c r="B19" s="13" t="s">
        <v>1158</v>
      </c>
      <c r="C19" s="36">
        <v>1</v>
      </c>
      <c r="D19" s="14">
        <v>1485</v>
      </c>
      <c r="E19" s="14">
        <v>0</v>
      </c>
    </row>
    <row r="20" spans="1:5" x14ac:dyDescent="0.3">
      <c r="A20" s="13" t="s">
        <v>33</v>
      </c>
      <c r="B20" s="13" t="s">
        <v>1159</v>
      </c>
      <c r="C20" s="36">
        <v>1</v>
      </c>
      <c r="D20" s="14">
        <v>1485</v>
      </c>
      <c r="E20" s="14">
        <v>0</v>
      </c>
    </row>
    <row r="21" spans="1:5" x14ac:dyDescent="0.3">
      <c r="A21" s="13" t="s">
        <v>33</v>
      </c>
      <c r="B21" s="13" t="s">
        <v>1160</v>
      </c>
      <c r="C21" s="36">
        <v>1</v>
      </c>
      <c r="D21" s="14">
        <v>1485</v>
      </c>
      <c r="E21" s="14">
        <v>0</v>
      </c>
    </row>
    <row r="22" spans="1:5" x14ac:dyDescent="0.3">
      <c r="A22" s="13" t="s">
        <v>33</v>
      </c>
      <c r="B22" s="13" t="s">
        <v>1161</v>
      </c>
      <c r="C22" s="36">
        <v>1</v>
      </c>
      <c r="D22" s="14">
        <v>1485</v>
      </c>
      <c r="E22" s="14">
        <v>0</v>
      </c>
    </row>
    <row r="23" spans="1:5" x14ac:dyDescent="0.3">
      <c r="A23" s="13" t="s">
        <v>33</v>
      </c>
      <c r="B23" s="13" t="s">
        <v>1162</v>
      </c>
      <c r="C23" s="36">
        <v>1</v>
      </c>
      <c r="D23" s="14">
        <v>1485</v>
      </c>
      <c r="E23" s="14">
        <v>0</v>
      </c>
    </row>
    <row r="24" spans="1:5" x14ac:dyDescent="0.3">
      <c r="A24" s="13" t="s">
        <v>33</v>
      </c>
      <c r="B24" s="13" t="s">
        <v>1163</v>
      </c>
      <c r="C24" s="36">
        <v>1</v>
      </c>
      <c r="D24" s="14">
        <v>1485</v>
      </c>
      <c r="E24" s="14">
        <v>0</v>
      </c>
    </row>
    <row r="25" spans="1:5" x14ac:dyDescent="0.3">
      <c r="A25" s="13" t="s">
        <v>33</v>
      </c>
      <c r="B25" s="13" t="s">
        <v>1164</v>
      </c>
      <c r="C25" s="36">
        <v>1</v>
      </c>
      <c r="D25" s="14">
        <v>1485</v>
      </c>
      <c r="E25" s="14">
        <v>0</v>
      </c>
    </row>
    <row r="26" spans="1:5" x14ac:dyDescent="0.3">
      <c r="A26" s="13" t="s">
        <v>33</v>
      </c>
      <c r="B26" s="13" t="s">
        <v>1165</v>
      </c>
      <c r="C26" s="36">
        <v>1</v>
      </c>
      <c r="D26" s="14">
        <v>1485</v>
      </c>
      <c r="E26" s="14">
        <v>0</v>
      </c>
    </row>
    <row r="27" spans="1:5" x14ac:dyDescent="0.3">
      <c r="A27" s="13" t="s">
        <v>33</v>
      </c>
      <c r="B27" s="13" t="s">
        <v>1166</v>
      </c>
      <c r="C27" s="36">
        <v>1</v>
      </c>
      <c r="D27" s="14">
        <v>1485</v>
      </c>
      <c r="E27" s="14">
        <v>0</v>
      </c>
    </row>
    <row r="28" spans="1:5" x14ac:dyDescent="0.3">
      <c r="A28" s="13" t="s">
        <v>33</v>
      </c>
      <c r="B28" s="13" t="s">
        <v>1167</v>
      </c>
      <c r="C28" s="36">
        <v>1</v>
      </c>
      <c r="D28" s="14">
        <v>1485</v>
      </c>
      <c r="E28" s="14">
        <v>0</v>
      </c>
    </row>
    <row r="29" spans="1:5" x14ac:dyDescent="0.3">
      <c r="A29" s="13" t="s">
        <v>33</v>
      </c>
      <c r="B29" s="13" t="s">
        <v>1168</v>
      </c>
      <c r="C29" s="36">
        <v>1</v>
      </c>
      <c r="D29" s="14">
        <v>1485</v>
      </c>
      <c r="E29" s="14">
        <v>0</v>
      </c>
    </row>
    <row r="30" spans="1:5" x14ac:dyDescent="0.3">
      <c r="A30" s="13" t="s">
        <v>33</v>
      </c>
      <c r="B30" s="13" t="s">
        <v>1169</v>
      </c>
      <c r="C30" s="36">
        <v>1</v>
      </c>
      <c r="D30" s="14">
        <v>1485</v>
      </c>
      <c r="E30" s="14">
        <v>0</v>
      </c>
    </row>
    <row r="31" spans="1:5" x14ac:dyDescent="0.3">
      <c r="A31" s="13" t="s">
        <v>33</v>
      </c>
      <c r="B31" s="13" t="s">
        <v>1170</v>
      </c>
      <c r="C31" s="36">
        <v>1</v>
      </c>
      <c r="D31" s="14">
        <v>1485</v>
      </c>
      <c r="E31" s="14">
        <v>0</v>
      </c>
    </row>
    <row r="32" spans="1:5" x14ac:dyDescent="0.3">
      <c r="A32" s="13" t="s">
        <v>33</v>
      </c>
      <c r="B32" s="13" t="s">
        <v>1171</v>
      </c>
      <c r="C32" s="36">
        <v>1</v>
      </c>
      <c r="D32" s="14">
        <v>720</v>
      </c>
      <c r="E32" s="14">
        <v>0</v>
      </c>
    </row>
    <row r="33" spans="1:5" x14ac:dyDescent="0.3">
      <c r="A33" s="13" t="s">
        <v>33</v>
      </c>
      <c r="B33" s="13" t="s">
        <v>1172</v>
      </c>
      <c r="C33" s="36">
        <v>1</v>
      </c>
      <c r="D33" s="14">
        <v>720</v>
      </c>
      <c r="E33" s="14">
        <v>0</v>
      </c>
    </row>
    <row r="34" spans="1:5" x14ac:dyDescent="0.3">
      <c r="A34" s="13" t="s">
        <v>33</v>
      </c>
      <c r="B34" s="13" t="s">
        <v>1173</v>
      </c>
      <c r="C34" s="36">
        <v>1</v>
      </c>
      <c r="D34" s="14">
        <v>720</v>
      </c>
      <c r="E34" s="14">
        <v>0</v>
      </c>
    </row>
    <row r="35" spans="1:5" x14ac:dyDescent="0.3">
      <c r="A35" s="13" t="s">
        <v>33</v>
      </c>
      <c r="B35" s="13" t="s">
        <v>1174</v>
      </c>
      <c r="C35" s="36">
        <v>1</v>
      </c>
      <c r="D35" s="14">
        <v>720</v>
      </c>
      <c r="E35" s="14">
        <v>0</v>
      </c>
    </row>
    <row r="36" spans="1:5" x14ac:dyDescent="0.3">
      <c r="A36" s="13" t="s">
        <v>33</v>
      </c>
      <c r="B36" s="13" t="s">
        <v>1175</v>
      </c>
      <c r="C36" s="36">
        <v>1</v>
      </c>
      <c r="D36" s="14">
        <v>720</v>
      </c>
      <c r="E36" s="14">
        <v>0</v>
      </c>
    </row>
    <row r="37" spans="1:5" x14ac:dyDescent="0.3">
      <c r="A37" s="13" t="s">
        <v>33</v>
      </c>
      <c r="B37" s="13" t="s">
        <v>1176</v>
      </c>
      <c r="C37" s="36">
        <v>1</v>
      </c>
      <c r="D37" s="14">
        <v>720</v>
      </c>
      <c r="E37" s="14">
        <v>0</v>
      </c>
    </row>
    <row r="38" spans="1:5" x14ac:dyDescent="0.3">
      <c r="A38" s="13" t="s">
        <v>33</v>
      </c>
      <c r="B38" s="13" t="s">
        <v>1177</v>
      </c>
      <c r="C38" s="36">
        <v>1</v>
      </c>
      <c r="D38" s="14">
        <v>720</v>
      </c>
      <c r="E38" s="14">
        <v>0</v>
      </c>
    </row>
    <row r="39" spans="1:5" x14ac:dyDescent="0.3">
      <c r="A39" s="13" t="s">
        <v>33</v>
      </c>
      <c r="B39" s="13" t="s">
        <v>1178</v>
      </c>
      <c r="C39" s="36">
        <v>1</v>
      </c>
      <c r="D39" s="14">
        <v>720</v>
      </c>
      <c r="E39" s="14">
        <v>0</v>
      </c>
    </row>
    <row r="40" spans="1:5" x14ac:dyDescent="0.3">
      <c r="A40" s="13" t="s">
        <v>33</v>
      </c>
      <c r="B40" s="13" t="s">
        <v>1179</v>
      </c>
      <c r="C40" s="36">
        <v>1</v>
      </c>
      <c r="D40" s="14">
        <v>720</v>
      </c>
      <c r="E40" s="14">
        <v>0</v>
      </c>
    </row>
    <row r="41" spans="1:5" x14ac:dyDescent="0.3">
      <c r="A41" s="13" t="s">
        <v>33</v>
      </c>
      <c r="B41" s="13" t="s">
        <v>1180</v>
      </c>
      <c r="C41" s="36">
        <v>1</v>
      </c>
      <c r="D41" s="14">
        <v>720</v>
      </c>
      <c r="E41" s="14">
        <v>0</v>
      </c>
    </row>
    <row r="42" spans="1:5" x14ac:dyDescent="0.3">
      <c r="A42" s="13" t="s">
        <v>33</v>
      </c>
      <c r="B42" s="13" t="s">
        <v>1181</v>
      </c>
      <c r="C42" s="36">
        <v>1</v>
      </c>
      <c r="D42" s="14">
        <v>720</v>
      </c>
      <c r="E42" s="14">
        <v>0</v>
      </c>
    </row>
    <row r="43" spans="1:5" x14ac:dyDescent="0.3">
      <c r="A43" s="13" t="s">
        <v>33</v>
      </c>
      <c r="B43" s="13" t="s">
        <v>1182</v>
      </c>
      <c r="C43" s="36">
        <v>1</v>
      </c>
      <c r="D43" s="14">
        <v>720</v>
      </c>
      <c r="E43" s="14">
        <v>0</v>
      </c>
    </row>
    <row r="44" spans="1:5" x14ac:dyDescent="0.3">
      <c r="A44" s="13" t="s">
        <v>33</v>
      </c>
      <c r="B44" s="13" t="s">
        <v>1183</v>
      </c>
      <c r="C44" s="36">
        <v>1</v>
      </c>
      <c r="D44" s="14">
        <v>720</v>
      </c>
      <c r="E44" s="14">
        <v>0</v>
      </c>
    </row>
    <row r="45" spans="1:5" x14ac:dyDescent="0.3">
      <c r="A45" s="13" t="s">
        <v>33</v>
      </c>
      <c r="B45" s="13" t="s">
        <v>1184</v>
      </c>
      <c r="C45" s="36">
        <v>1</v>
      </c>
      <c r="D45" s="14">
        <v>720</v>
      </c>
      <c r="E45" s="14">
        <v>0</v>
      </c>
    </row>
    <row r="46" spans="1:5" x14ac:dyDescent="0.3">
      <c r="A46" s="13" t="s">
        <v>33</v>
      </c>
      <c r="B46" s="13" t="s">
        <v>1185</v>
      </c>
      <c r="C46" s="36">
        <v>1</v>
      </c>
      <c r="D46" s="14">
        <v>720</v>
      </c>
      <c r="E46" s="14">
        <v>0</v>
      </c>
    </row>
    <row r="47" spans="1:5" x14ac:dyDescent="0.3">
      <c r="A47" s="13" t="s">
        <v>33</v>
      </c>
      <c r="B47" s="13" t="s">
        <v>1186</v>
      </c>
      <c r="C47" s="36">
        <v>1</v>
      </c>
      <c r="D47" s="14">
        <v>720</v>
      </c>
      <c r="E47" s="14">
        <v>0</v>
      </c>
    </row>
    <row r="48" spans="1:5" x14ac:dyDescent="0.3">
      <c r="A48" s="13" t="s">
        <v>33</v>
      </c>
      <c r="B48" s="13" t="s">
        <v>1187</v>
      </c>
      <c r="C48" s="36">
        <v>1</v>
      </c>
      <c r="D48" s="14">
        <v>720</v>
      </c>
      <c r="E48" s="14">
        <v>0</v>
      </c>
    </row>
    <row r="49" spans="1:5" x14ac:dyDescent="0.3">
      <c r="A49" s="13" t="s">
        <v>33</v>
      </c>
      <c r="B49" s="13" t="s">
        <v>1188</v>
      </c>
      <c r="C49" s="36">
        <v>1</v>
      </c>
      <c r="D49" s="14">
        <v>720</v>
      </c>
      <c r="E49" s="14">
        <v>0</v>
      </c>
    </row>
    <row r="50" spans="1:5" x14ac:dyDescent="0.3">
      <c r="A50" s="13" t="s">
        <v>33</v>
      </c>
      <c r="B50" s="13" t="s">
        <v>1189</v>
      </c>
      <c r="C50" s="36">
        <v>1</v>
      </c>
      <c r="D50" s="14">
        <v>315</v>
      </c>
      <c r="E50" s="14">
        <v>0</v>
      </c>
    </row>
    <row r="51" spans="1:5" x14ac:dyDescent="0.3">
      <c r="A51" s="13" t="s">
        <v>33</v>
      </c>
      <c r="B51" s="13" t="s">
        <v>1190</v>
      </c>
      <c r="C51" s="36">
        <v>1</v>
      </c>
      <c r="D51" s="14">
        <v>315</v>
      </c>
      <c r="E51" s="14">
        <v>0</v>
      </c>
    </row>
    <row r="52" spans="1:5" x14ac:dyDescent="0.3">
      <c r="A52" s="13" t="s">
        <v>33</v>
      </c>
      <c r="B52" s="13" t="s">
        <v>1191</v>
      </c>
      <c r="C52" s="36">
        <v>1</v>
      </c>
      <c r="D52" s="14">
        <v>315</v>
      </c>
      <c r="E52" s="14">
        <v>0</v>
      </c>
    </row>
    <row r="53" spans="1:5" x14ac:dyDescent="0.3">
      <c r="A53" s="13" t="s">
        <v>33</v>
      </c>
      <c r="B53" s="13" t="s">
        <v>1192</v>
      </c>
      <c r="C53" s="36">
        <v>1</v>
      </c>
      <c r="D53" s="14">
        <v>315</v>
      </c>
      <c r="E53" s="14">
        <v>0</v>
      </c>
    </row>
    <row r="54" spans="1:5" x14ac:dyDescent="0.3">
      <c r="A54" s="13" t="s">
        <v>33</v>
      </c>
      <c r="B54" s="13" t="s">
        <v>1193</v>
      </c>
      <c r="C54" s="36">
        <v>1</v>
      </c>
      <c r="D54" s="14">
        <v>120</v>
      </c>
      <c r="E54" s="14">
        <v>0</v>
      </c>
    </row>
    <row r="55" spans="1:5" x14ac:dyDescent="0.3">
      <c r="A55" s="13" t="s">
        <v>33</v>
      </c>
      <c r="B55" s="13" t="s">
        <v>1194</v>
      </c>
      <c r="C55" s="36">
        <v>1</v>
      </c>
      <c r="D55" s="14">
        <v>120</v>
      </c>
      <c r="E55" s="14">
        <v>0</v>
      </c>
    </row>
    <row r="56" spans="1:5" x14ac:dyDescent="0.3">
      <c r="A56" s="13" t="s">
        <v>53</v>
      </c>
      <c r="B56" s="13" t="s">
        <v>1195</v>
      </c>
      <c r="C56" s="36">
        <v>1</v>
      </c>
      <c r="D56" s="14">
        <v>1607238.36</v>
      </c>
      <c r="E56" s="14">
        <v>0</v>
      </c>
    </row>
    <row r="57" spans="1:5" x14ac:dyDescent="0.3">
      <c r="A57" s="13" t="s">
        <v>53</v>
      </c>
      <c r="B57" s="13" t="s">
        <v>1196</v>
      </c>
      <c r="C57" s="36">
        <v>1</v>
      </c>
      <c r="D57" s="14">
        <v>1214855.04</v>
      </c>
      <c r="E57" s="14">
        <v>0</v>
      </c>
    </row>
    <row r="58" spans="1:5" x14ac:dyDescent="0.3">
      <c r="A58" s="13" t="s">
        <v>53</v>
      </c>
      <c r="B58" s="13" t="s">
        <v>1197</v>
      </c>
      <c r="C58" s="36">
        <v>1</v>
      </c>
      <c r="D58" s="14">
        <v>851420.4</v>
      </c>
      <c r="E58" s="14">
        <v>0</v>
      </c>
    </row>
    <row r="59" spans="1:5" x14ac:dyDescent="0.3">
      <c r="A59" s="13" t="s">
        <v>53</v>
      </c>
      <c r="B59" s="13" t="s">
        <v>1198</v>
      </c>
      <c r="C59" s="36">
        <v>1</v>
      </c>
      <c r="D59" s="14">
        <v>762181.55</v>
      </c>
      <c r="E59" s="14">
        <v>0</v>
      </c>
    </row>
    <row r="60" spans="1:5" x14ac:dyDescent="0.3">
      <c r="A60" s="13" t="s">
        <v>53</v>
      </c>
      <c r="B60" s="13" t="s">
        <v>1199</v>
      </c>
      <c r="C60" s="36">
        <v>1</v>
      </c>
      <c r="D60" s="14">
        <v>538393.30000000005</v>
      </c>
      <c r="E60" s="14">
        <v>0</v>
      </c>
    </row>
    <row r="61" spans="1:5" x14ac:dyDescent="0.3">
      <c r="A61" s="13" t="s">
        <v>53</v>
      </c>
      <c r="B61" s="13" t="s">
        <v>1200</v>
      </c>
      <c r="C61" s="36">
        <v>1</v>
      </c>
      <c r="D61" s="14">
        <v>524468.05000000005</v>
      </c>
      <c r="E61" s="14">
        <v>0</v>
      </c>
    </row>
    <row r="62" spans="1:5" x14ac:dyDescent="0.3">
      <c r="A62" s="13" t="s">
        <v>53</v>
      </c>
      <c r="B62" s="13" t="s">
        <v>1201</v>
      </c>
      <c r="C62" s="36">
        <v>1</v>
      </c>
      <c r="D62" s="14">
        <v>364826.34</v>
      </c>
      <c r="E62" s="14">
        <v>0</v>
      </c>
    </row>
    <row r="63" spans="1:5" x14ac:dyDescent="0.3">
      <c r="A63" s="13" t="s">
        <v>53</v>
      </c>
      <c r="B63" s="13" t="s">
        <v>1202</v>
      </c>
      <c r="C63" s="36">
        <v>1</v>
      </c>
      <c r="D63" s="14">
        <v>301511.90999999997</v>
      </c>
      <c r="E63" s="14">
        <v>0</v>
      </c>
    </row>
    <row r="64" spans="1:5" x14ac:dyDescent="0.3">
      <c r="A64" s="13" t="s">
        <v>53</v>
      </c>
      <c r="B64" s="13" t="s">
        <v>1203</v>
      </c>
      <c r="C64" s="36">
        <v>1</v>
      </c>
      <c r="D64" s="14">
        <v>238545</v>
      </c>
      <c r="E64" s="14">
        <v>0</v>
      </c>
    </row>
    <row r="65" spans="1:5" x14ac:dyDescent="0.3">
      <c r="A65" s="13" t="s">
        <v>53</v>
      </c>
      <c r="B65" s="13" t="s">
        <v>1204</v>
      </c>
      <c r="C65" s="36">
        <v>1</v>
      </c>
      <c r="D65" s="14">
        <v>234360</v>
      </c>
      <c r="E65" s="14">
        <v>0</v>
      </c>
    </row>
    <row r="66" spans="1:5" x14ac:dyDescent="0.3">
      <c r="A66" s="13" t="s">
        <v>53</v>
      </c>
      <c r="B66" s="13" t="s">
        <v>1205</v>
      </c>
      <c r="C66" s="36">
        <v>1</v>
      </c>
      <c r="D66" s="14">
        <v>98555.03</v>
      </c>
      <c r="E66" s="14">
        <v>0</v>
      </c>
    </row>
    <row r="67" spans="1:5" x14ac:dyDescent="0.3">
      <c r="A67" s="13" t="s">
        <v>53</v>
      </c>
      <c r="B67" s="13" t="s">
        <v>1206</v>
      </c>
      <c r="C67" s="36">
        <v>1</v>
      </c>
      <c r="D67" s="14">
        <v>54448.25</v>
      </c>
      <c r="E67" s="14">
        <v>0</v>
      </c>
    </row>
    <row r="68" spans="1:5" x14ac:dyDescent="0.3">
      <c r="A68" s="13" t="s">
        <v>53</v>
      </c>
      <c r="B68" s="13" t="s">
        <v>1207</v>
      </c>
      <c r="C68" s="36">
        <v>1</v>
      </c>
      <c r="D68" s="14">
        <v>17695</v>
      </c>
      <c r="E68" s="14">
        <v>0</v>
      </c>
    </row>
    <row r="69" spans="1:5" x14ac:dyDescent="0.3">
      <c r="A69" s="13" t="s">
        <v>53</v>
      </c>
      <c r="B69" s="13" t="s">
        <v>1208</v>
      </c>
      <c r="C69" s="36">
        <v>1</v>
      </c>
      <c r="D69" s="14">
        <v>7271</v>
      </c>
      <c r="E69" s="14">
        <v>0</v>
      </c>
    </row>
    <row r="70" spans="1:5" x14ac:dyDescent="0.3">
      <c r="A70" s="13" t="s">
        <v>131</v>
      </c>
      <c r="B70" s="13" t="s">
        <v>1209</v>
      </c>
      <c r="C70" s="36">
        <v>1</v>
      </c>
      <c r="D70" s="14">
        <v>2460000</v>
      </c>
      <c r="E70" s="14">
        <v>0</v>
      </c>
    </row>
    <row r="71" spans="1:5" x14ac:dyDescent="0.3">
      <c r="A71" s="13" t="s">
        <v>131</v>
      </c>
      <c r="B71" s="13" t="s">
        <v>1210</v>
      </c>
      <c r="C71" s="36">
        <v>1</v>
      </c>
      <c r="D71" s="14">
        <v>2000000</v>
      </c>
      <c r="E71" s="14">
        <v>0</v>
      </c>
    </row>
    <row r="72" spans="1:5" x14ac:dyDescent="0.3">
      <c r="A72" s="13" t="s">
        <v>131</v>
      </c>
      <c r="B72" s="13" t="s">
        <v>1211</v>
      </c>
      <c r="C72" s="36">
        <v>1</v>
      </c>
      <c r="D72" s="14">
        <v>1249500</v>
      </c>
      <c r="E72" s="14">
        <v>0</v>
      </c>
    </row>
    <row r="73" spans="1:5" x14ac:dyDescent="0.3">
      <c r="A73" s="13" t="s">
        <v>131</v>
      </c>
      <c r="B73" s="13" t="s">
        <v>1212</v>
      </c>
      <c r="C73" s="36">
        <v>1</v>
      </c>
      <c r="D73" s="14">
        <v>1000000</v>
      </c>
      <c r="E73" s="14">
        <v>0</v>
      </c>
    </row>
    <row r="74" spans="1:5" x14ac:dyDescent="0.3">
      <c r="A74" s="13" t="s">
        <v>37</v>
      </c>
      <c r="B74" s="13" t="s">
        <v>1213</v>
      </c>
      <c r="C74" s="36">
        <v>10</v>
      </c>
      <c r="D74" s="14">
        <v>39372.849999999991</v>
      </c>
      <c r="E74" s="14">
        <v>0</v>
      </c>
    </row>
    <row r="75" spans="1:5" x14ac:dyDescent="0.3">
      <c r="A75" s="13" t="s">
        <v>37</v>
      </c>
      <c r="B75" s="13" t="s">
        <v>1214</v>
      </c>
      <c r="C75" s="36">
        <v>10</v>
      </c>
      <c r="D75" s="14">
        <v>5624.6900000000014</v>
      </c>
      <c r="E75" s="14">
        <v>0</v>
      </c>
    </row>
    <row r="76" spans="1:5" x14ac:dyDescent="0.3">
      <c r="A76" s="13" t="s">
        <v>37</v>
      </c>
      <c r="B76" s="13" t="s">
        <v>1215</v>
      </c>
      <c r="C76" s="36">
        <v>1</v>
      </c>
      <c r="D76" s="14">
        <v>311.85000000000002</v>
      </c>
      <c r="E76" s="14">
        <v>0</v>
      </c>
    </row>
    <row r="77" spans="1:5" x14ac:dyDescent="0.3">
      <c r="A77" s="13" t="s">
        <v>37</v>
      </c>
      <c r="B77" s="13" t="s">
        <v>1216</v>
      </c>
      <c r="C77" s="36">
        <v>1</v>
      </c>
      <c r="D77" s="14">
        <v>311.85000000000002</v>
      </c>
      <c r="E77" s="14">
        <v>0</v>
      </c>
    </row>
    <row r="78" spans="1:5" x14ac:dyDescent="0.3">
      <c r="A78" s="13" t="s">
        <v>37</v>
      </c>
      <c r="B78" s="13" t="s">
        <v>1217</v>
      </c>
      <c r="C78" s="36">
        <v>1</v>
      </c>
      <c r="D78" s="14">
        <v>311.85000000000002</v>
      </c>
      <c r="E78" s="14">
        <v>0</v>
      </c>
    </row>
    <row r="79" spans="1:5" x14ac:dyDescent="0.3">
      <c r="A79" s="13" t="s">
        <v>37</v>
      </c>
      <c r="B79" s="13" t="s">
        <v>1218</v>
      </c>
      <c r="C79" s="36">
        <v>1</v>
      </c>
      <c r="D79" s="14">
        <v>311.85000000000002</v>
      </c>
      <c r="E79" s="14">
        <v>0</v>
      </c>
    </row>
    <row r="80" spans="1:5" x14ac:dyDescent="0.3">
      <c r="A80" s="13" t="s">
        <v>37</v>
      </c>
      <c r="B80" s="13" t="s">
        <v>1219</v>
      </c>
      <c r="C80" s="36">
        <v>1</v>
      </c>
      <c r="D80" s="14">
        <v>311.85000000000002</v>
      </c>
      <c r="E80" s="14">
        <v>0</v>
      </c>
    </row>
    <row r="81" spans="1:5" x14ac:dyDescent="0.3">
      <c r="A81" s="13" t="s">
        <v>37</v>
      </c>
      <c r="B81" s="13" t="s">
        <v>1220</v>
      </c>
      <c r="C81" s="36">
        <v>1</v>
      </c>
      <c r="D81" s="14">
        <v>311.85000000000002</v>
      </c>
      <c r="E81" s="14">
        <v>0</v>
      </c>
    </row>
    <row r="82" spans="1:5" x14ac:dyDescent="0.3">
      <c r="A82" s="13" t="s">
        <v>37</v>
      </c>
      <c r="B82" s="13" t="s">
        <v>1221</v>
      </c>
      <c r="C82" s="36">
        <v>1</v>
      </c>
      <c r="D82" s="14">
        <v>311.85000000000002</v>
      </c>
      <c r="E82" s="14">
        <v>0</v>
      </c>
    </row>
    <row r="83" spans="1:5" x14ac:dyDescent="0.3">
      <c r="A83" s="13" t="s">
        <v>37</v>
      </c>
      <c r="B83" s="13" t="s">
        <v>1222</v>
      </c>
      <c r="C83" s="36">
        <v>1</v>
      </c>
      <c r="D83" s="14">
        <v>311.85000000000002</v>
      </c>
      <c r="E83" s="14">
        <v>0</v>
      </c>
    </row>
    <row r="84" spans="1:5" x14ac:dyDescent="0.3">
      <c r="A84" s="13" t="s">
        <v>37</v>
      </c>
      <c r="B84" s="13" t="s">
        <v>1223</v>
      </c>
      <c r="C84" s="36">
        <v>1</v>
      </c>
      <c r="D84" s="14">
        <v>311.85000000000002</v>
      </c>
      <c r="E84" s="14">
        <v>0</v>
      </c>
    </row>
    <row r="85" spans="1:5" x14ac:dyDescent="0.3">
      <c r="A85" s="13" t="s">
        <v>37</v>
      </c>
      <c r="B85" s="13" t="s">
        <v>1224</v>
      </c>
      <c r="C85" s="36">
        <v>1</v>
      </c>
      <c r="D85" s="14">
        <v>311.85000000000002</v>
      </c>
      <c r="E85" s="14">
        <v>0</v>
      </c>
    </row>
    <row r="86" spans="1:5" x14ac:dyDescent="0.3">
      <c r="A86" s="13" t="s">
        <v>37</v>
      </c>
      <c r="B86" s="13" t="s">
        <v>1225</v>
      </c>
      <c r="C86" s="36">
        <v>1</v>
      </c>
      <c r="D86" s="14">
        <v>311.85000000000002</v>
      </c>
      <c r="E86" s="14">
        <v>0</v>
      </c>
    </row>
    <row r="87" spans="1:5" x14ac:dyDescent="0.3">
      <c r="A87" s="13" t="s">
        <v>37</v>
      </c>
      <c r="B87" s="13" t="s">
        <v>1226</v>
      </c>
      <c r="C87" s="36">
        <v>1</v>
      </c>
      <c r="D87" s="14">
        <v>311.85000000000002</v>
      </c>
      <c r="E87" s="14">
        <v>0</v>
      </c>
    </row>
    <row r="88" spans="1:5" x14ac:dyDescent="0.3">
      <c r="A88" s="13" t="s">
        <v>37</v>
      </c>
      <c r="B88" s="13" t="s">
        <v>1227</v>
      </c>
      <c r="C88" s="36">
        <v>1</v>
      </c>
      <c r="D88" s="14">
        <v>311.85000000000002</v>
      </c>
      <c r="E88" s="14">
        <v>0</v>
      </c>
    </row>
    <row r="89" spans="1:5" x14ac:dyDescent="0.3">
      <c r="A89" s="13" t="s">
        <v>37</v>
      </c>
      <c r="B89" s="13" t="s">
        <v>1228</v>
      </c>
      <c r="C89" s="36">
        <v>1</v>
      </c>
      <c r="D89" s="14">
        <v>311.85000000000002</v>
      </c>
      <c r="E89" s="14">
        <v>0</v>
      </c>
    </row>
    <row r="90" spans="1:5" x14ac:dyDescent="0.3">
      <c r="A90" s="13" t="s">
        <v>37</v>
      </c>
      <c r="B90" s="13" t="s">
        <v>1229</v>
      </c>
      <c r="C90" s="36">
        <v>1</v>
      </c>
      <c r="D90" s="14">
        <v>311.85000000000002</v>
      </c>
      <c r="E90" s="14">
        <v>0</v>
      </c>
    </row>
    <row r="91" spans="1:5" x14ac:dyDescent="0.3">
      <c r="A91" s="13" t="s">
        <v>37</v>
      </c>
      <c r="B91" s="13" t="s">
        <v>1230</v>
      </c>
      <c r="C91" s="36">
        <v>1</v>
      </c>
      <c r="D91" s="14">
        <v>311.85000000000002</v>
      </c>
      <c r="E91" s="14">
        <v>0</v>
      </c>
    </row>
    <row r="92" spans="1:5" x14ac:dyDescent="0.3">
      <c r="A92" s="13" t="s">
        <v>37</v>
      </c>
      <c r="B92" s="13" t="s">
        <v>1231</v>
      </c>
      <c r="C92" s="36">
        <v>1</v>
      </c>
      <c r="D92" s="14">
        <v>311.85000000000002</v>
      </c>
      <c r="E92" s="14">
        <v>0</v>
      </c>
    </row>
    <row r="93" spans="1:5" x14ac:dyDescent="0.3">
      <c r="A93" s="13" t="s">
        <v>37</v>
      </c>
      <c r="B93" s="13" t="s">
        <v>1232</v>
      </c>
      <c r="C93" s="36">
        <v>1</v>
      </c>
      <c r="D93" s="14">
        <v>311.85000000000002</v>
      </c>
      <c r="E93" s="14">
        <v>0</v>
      </c>
    </row>
    <row r="94" spans="1:5" x14ac:dyDescent="0.3">
      <c r="A94" s="13" t="s">
        <v>37</v>
      </c>
      <c r="B94" s="13" t="s">
        <v>1233</v>
      </c>
      <c r="C94" s="36">
        <v>1</v>
      </c>
      <c r="D94" s="14">
        <v>311.85000000000002</v>
      </c>
      <c r="E94" s="14">
        <v>0</v>
      </c>
    </row>
    <row r="95" spans="1:5" x14ac:dyDescent="0.3">
      <c r="A95" s="13" t="s">
        <v>37</v>
      </c>
      <c r="B95" s="13" t="s">
        <v>1234</v>
      </c>
      <c r="C95" s="36">
        <v>1</v>
      </c>
      <c r="D95" s="14">
        <v>311.85000000000002</v>
      </c>
      <c r="E95" s="14">
        <v>0</v>
      </c>
    </row>
    <row r="96" spans="1:5" x14ac:dyDescent="0.3">
      <c r="A96" s="13" t="s">
        <v>37</v>
      </c>
      <c r="B96" s="13" t="s">
        <v>1235</v>
      </c>
      <c r="C96" s="36">
        <v>1</v>
      </c>
      <c r="D96" s="14">
        <v>311.85000000000002</v>
      </c>
      <c r="E96" s="14">
        <v>0</v>
      </c>
    </row>
    <row r="97" spans="1:5" x14ac:dyDescent="0.3">
      <c r="A97" s="13" t="s">
        <v>37</v>
      </c>
      <c r="B97" s="13" t="s">
        <v>1236</v>
      </c>
      <c r="C97" s="36">
        <v>1</v>
      </c>
      <c r="D97" s="14">
        <v>311.85000000000002</v>
      </c>
      <c r="E97" s="14">
        <v>0</v>
      </c>
    </row>
    <row r="98" spans="1:5" x14ac:dyDescent="0.3">
      <c r="A98" s="13" t="s">
        <v>37</v>
      </c>
      <c r="B98" s="13" t="s">
        <v>1237</v>
      </c>
      <c r="C98" s="36">
        <v>1</v>
      </c>
      <c r="D98" s="14">
        <v>311.85000000000002</v>
      </c>
      <c r="E98" s="14">
        <v>0</v>
      </c>
    </row>
    <row r="99" spans="1:5" x14ac:dyDescent="0.3">
      <c r="A99" s="13" t="s">
        <v>37</v>
      </c>
      <c r="B99" s="13" t="s">
        <v>1238</v>
      </c>
      <c r="C99" s="36">
        <v>1</v>
      </c>
      <c r="D99" s="14">
        <v>311.85000000000002</v>
      </c>
      <c r="E99" s="14">
        <v>0</v>
      </c>
    </row>
    <row r="100" spans="1:5" x14ac:dyDescent="0.3">
      <c r="A100" s="13" t="s">
        <v>37</v>
      </c>
      <c r="B100" s="13" t="s">
        <v>1239</v>
      </c>
      <c r="C100" s="36">
        <v>1</v>
      </c>
      <c r="D100" s="14">
        <v>311.85000000000002</v>
      </c>
      <c r="E100" s="14">
        <v>0</v>
      </c>
    </row>
    <row r="101" spans="1:5" x14ac:dyDescent="0.3">
      <c r="A101" s="13" t="s">
        <v>37</v>
      </c>
      <c r="B101" s="13" t="s">
        <v>1240</v>
      </c>
      <c r="C101" s="36">
        <v>1</v>
      </c>
      <c r="D101" s="14">
        <v>151.19999999999999</v>
      </c>
      <c r="E101" s="14">
        <v>0</v>
      </c>
    </row>
    <row r="102" spans="1:5" x14ac:dyDescent="0.3">
      <c r="A102" s="13" t="s">
        <v>37</v>
      </c>
      <c r="B102" s="13" t="s">
        <v>1241</v>
      </c>
      <c r="C102" s="36">
        <v>1</v>
      </c>
      <c r="D102" s="14">
        <v>151.19999999999999</v>
      </c>
      <c r="E102" s="14">
        <v>0</v>
      </c>
    </row>
    <row r="103" spans="1:5" x14ac:dyDescent="0.3">
      <c r="A103" s="13" t="s">
        <v>37</v>
      </c>
      <c r="B103" s="13" t="s">
        <v>1242</v>
      </c>
      <c r="C103" s="36">
        <v>1</v>
      </c>
      <c r="D103" s="14">
        <v>151.19999999999999</v>
      </c>
      <c r="E103" s="14">
        <v>0</v>
      </c>
    </row>
    <row r="104" spans="1:5" x14ac:dyDescent="0.3">
      <c r="A104" s="13" t="s">
        <v>37</v>
      </c>
      <c r="B104" s="13" t="s">
        <v>1243</v>
      </c>
      <c r="C104" s="36">
        <v>1</v>
      </c>
      <c r="D104" s="14">
        <v>151.19999999999999</v>
      </c>
      <c r="E104" s="14">
        <v>0</v>
      </c>
    </row>
    <row r="105" spans="1:5" x14ac:dyDescent="0.3">
      <c r="A105" s="13" t="s">
        <v>37</v>
      </c>
      <c r="B105" s="13" t="s">
        <v>1244</v>
      </c>
      <c r="C105" s="36">
        <v>1</v>
      </c>
      <c r="D105" s="14">
        <v>151.19999999999999</v>
      </c>
      <c r="E105" s="14">
        <v>0</v>
      </c>
    </row>
    <row r="106" spans="1:5" x14ac:dyDescent="0.3">
      <c r="A106" s="13" t="s">
        <v>37</v>
      </c>
      <c r="B106" s="13" t="s">
        <v>1245</v>
      </c>
      <c r="C106" s="36">
        <v>1</v>
      </c>
      <c r="D106" s="14">
        <v>151.19999999999999</v>
      </c>
      <c r="E106" s="14">
        <v>0</v>
      </c>
    </row>
    <row r="107" spans="1:5" x14ac:dyDescent="0.3">
      <c r="A107" s="13" t="s">
        <v>37</v>
      </c>
      <c r="B107" s="13" t="s">
        <v>1246</v>
      </c>
      <c r="C107" s="36">
        <v>1</v>
      </c>
      <c r="D107" s="14">
        <v>151.19999999999999</v>
      </c>
      <c r="E107" s="14">
        <v>0</v>
      </c>
    </row>
    <row r="108" spans="1:5" x14ac:dyDescent="0.3">
      <c r="A108" s="13" t="s">
        <v>37</v>
      </c>
      <c r="B108" s="13" t="s">
        <v>1247</v>
      </c>
      <c r="C108" s="36">
        <v>1</v>
      </c>
      <c r="D108" s="14">
        <v>151.19999999999999</v>
      </c>
      <c r="E108" s="14">
        <v>0</v>
      </c>
    </row>
    <row r="109" spans="1:5" x14ac:dyDescent="0.3">
      <c r="A109" s="13" t="s">
        <v>37</v>
      </c>
      <c r="B109" s="13" t="s">
        <v>1248</v>
      </c>
      <c r="C109" s="36">
        <v>1</v>
      </c>
      <c r="D109" s="14">
        <v>151.19999999999999</v>
      </c>
      <c r="E109" s="14">
        <v>0</v>
      </c>
    </row>
    <row r="110" spans="1:5" x14ac:dyDescent="0.3">
      <c r="A110" s="13" t="s">
        <v>37</v>
      </c>
      <c r="B110" s="13" t="s">
        <v>1249</v>
      </c>
      <c r="C110" s="36">
        <v>1</v>
      </c>
      <c r="D110" s="14">
        <v>151.19999999999999</v>
      </c>
      <c r="E110" s="14">
        <v>0</v>
      </c>
    </row>
    <row r="111" spans="1:5" x14ac:dyDescent="0.3">
      <c r="A111" s="13" t="s">
        <v>37</v>
      </c>
      <c r="B111" s="13" t="s">
        <v>1250</v>
      </c>
      <c r="C111" s="36">
        <v>1</v>
      </c>
      <c r="D111" s="14">
        <v>151.19999999999999</v>
      </c>
      <c r="E111" s="14">
        <v>0</v>
      </c>
    </row>
    <row r="112" spans="1:5" x14ac:dyDescent="0.3">
      <c r="A112" s="13" t="s">
        <v>37</v>
      </c>
      <c r="B112" s="13" t="s">
        <v>1251</v>
      </c>
      <c r="C112" s="36">
        <v>1</v>
      </c>
      <c r="D112" s="14">
        <v>151.19999999999999</v>
      </c>
      <c r="E112" s="14">
        <v>0</v>
      </c>
    </row>
    <row r="113" spans="1:5" x14ac:dyDescent="0.3">
      <c r="A113" s="13" t="s">
        <v>37</v>
      </c>
      <c r="B113" s="13" t="s">
        <v>1252</v>
      </c>
      <c r="C113" s="36">
        <v>1</v>
      </c>
      <c r="D113" s="14">
        <v>151.19999999999999</v>
      </c>
      <c r="E113" s="14">
        <v>0</v>
      </c>
    </row>
    <row r="114" spans="1:5" x14ac:dyDescent="0.3">
      <c r="A114" s="13" t="s">
        <v>37</v>
      </c>
      <c r="B114" s="13" t="s">
        <v>1253</v>
      </c>
      <c r="C114" s="36">
        <v>1</v>
      </c>
      <c r="D114" s="14">
        <v>151.19999999999999</v>
      </c>
      <c r="E114" s="14">
        <v>0</v>
      </c>
    </row>
    <row r="115" spans="1:5" x14ac:dyDescent="0.3">
      <c r="A115" s="13" t="s">
        <v>37</v>
      </c>
      <c r="B115" s="13" t="s">
        <v>1254</v>
      </c>
      <c r="C115" s="36">
        <v>1</v>
      </c>
      <c r="D115" s="14">
        <v>151.19999999999999</v>
      </c>
      <c r="E115" s="14">
        <v>0</v>
      </c>
    </row>
    <row r="116" spans="1:5" x14ac:dyDescent="0.3">
      <c r="A116" s="13" t="s">
        <v>37</v>
      </c>
      <c r="B116" s="13" t="s">
        <v>1255</v>
      </c>
      <c r="C116" s="36">
        <v>1</v>
      </c>
      <c r="D116" s="14">
        <v>151.19999999999999</v>
      </c>
      <c r="E116" s="14">
        <v>0</v>
      </c>
    </row>
    <row r="117" spans="1:5" x14ac:dyDescent="0.3">
      <c r="A117" s="13" t="s">
        <v>37</v>
      </c>
      <c r="B117" s="13" t="s">
        <v>1256</v>
      </c>
      <c r="C117" s="36">
        <v>1</v>
      </c>
      <c r="D117" s="14">
        <v>151.19999999999999</v>
      </c>
      <c r="E117" s="14">
        <v>0</v>
      </c>
    </row>
    <row r="118" spans="1:5" x14ac:dyDescent="0.3">
      <c r="A118" s="13" t="s">
        <v>37</v>
      </c>
      <c r="B118" s="13" t="s">
        <v>1257</v>
      </c>
      <c r="C118" s="36">
        <v>1</v>
      </c>
      <c r="D118" s="14">
        <v>151.19999999999999</v>
      </c>
      <c r="E118" s="14">
        <v>0</v>
      </c>
    </row>
    <row r="119" spans="1:5" x14ac:dyDescent="0.3">
      <c r="A119" s="13" t="s">
        <v>37</v>
      </c>
      <c r="B119" s="13" t="s">
        <v>1258</v>
      </c>
      <c r="C119" s="36">
        <v>1</v>
      </c>
      <c r="D119" s="14">
        <v>66.150000000000006</v>
      </c>
      <c r="E119" s="14">
        <v>0</v>
      </c>
    </row>
    <row r="120" spans="1:5" x14ac:dyDescent="0.3">
      <c r="A120" s="13" t="s">
        <v>37</v>
      </c>
      <c r="B120" s="13" t="s">
        <v>1259</v>
      </c>
      <c r="C120" s="36">
        <v>1</v>
      </c>
      <c r="D120" s="14">
        <v>66.150000000000006</v>
      </c>
      <c r="E120" s="14">
        <v>0</v>
      </c>
    </row>
    <row r="121" spans="1:5" x14ac:dyDescent="0.3">
      <c r="A121" s="13" t="s">
        <v>37</v>
      </c>
      <c r="B121" s="13" t="s">
        <v>1260</v>
      </c>
      <c r="C121" s="36">
        <v>1</v>
      </c>
      <c r="D121" s="14">
        <v>66.150000000000006</v>
      </c>
      <c r="E121" s="14">
        <v>0</v>
      </c>
    </row>
    <row r="122" spans="1:5" x14ac:dyDescent="0.3">
      <c r="A122" s="13" t="s">
        <v>37</v>
      </c>
      <c r="B122" s="13" t="s">
        <v>1261</v>
      </c>
      <c r="C122" s="36">
        <v>1</v>
      </c>
      <c r="D122" s="14">
        <v>66.150000000000006</v>
      </c>
      <c r="E122" s="14">
        <v>0</v>
      </c>
    </row>
    <row r="123" spans="1:5" x14ac:dyDescent="0.3">
      <c r="A123" s="13" t="s">
        <v>37</v>
      </c>
      <c r="B123" s="13" t="s">
        <v>1262</v>
      </c>
      <c r="C123" s="36">
        <v>1</v>
      </c>
      <c r="D123" s="14">
        <v>25.2</v>
      </c>
      <c r="E123" s="14">
        <v>0</v>
      </c>
    </row>
    <row r="124" spans="1:5" x14ac:dyDescent="0.3">
      <c r="A124" s="13" t="s">
        <v>37</v>
      </c>
      <c r="B124" s="13" t="s">
        <v>1263</v>
      </c>
      <c r="C124" s="36">
        <v>1</v>
      </c>
      <c r="D124" s="14">
        <v>25.2</v>
      </c>
      <c r="E124" s="14">
        <v>0</v>
      </c>
    </row>
    <row r="125" spans="1:5" x14ac:dyDescent="0.3">
      <c r="A125" s="13" t="s">
        <v>31</v>
      </c>
      <c r="B125" s="13" t="s">
        <v>1264</v>
      </c>
      <c r="C125" s="36">
        <v>20</v>
      </c>
      <c r="D125" s="14">
        <v>1393979.52</v>
      </c>
      <c r="E125" s="14">
        <v>0</v>
      </c>
    </row>
    <row r="126" spans="1:5" x14ac:dyDescent="0.3">
      <c r="A126" s="13" t="s">
        <v>31</v>
      </c>
      <c r="B126" s="13" t="s">
        <v>1265</v>
      </c>
      <c r="C126" s="36">
        <v>1</v>
      </c>
      <c r="D126" s="14">
        <v>14532</v>
      </c>
      <c r="E126" s="14">
        <v>0</v>
      </c>
    </row>
    <row r="127" spans="1:5" x14ac:dyDescent="0.3">
      <c r="A127" s="13" t="s">
        <v>31</v>
      </c>
      <c r="B127" s="13" t="s">
        <v>1266</v>
      </c>
      <c r="C127" s="36">
        <v>1</v>
      </c>
      <c r="D127" s="14">
        <v>8557.48</v>
      </c>
      <c r="E127" s="14">
        <v>0</v>
      </c>
    </row>
    <row r="128" spans="1:5" x14ac:dyDescent="0.3">
      <c r="A128" s="13" t="s">
        <v>31</v>
      </c>
      <c r="B128" s="13" t="s">
        <v>1267</v>
      </c>
      <c r="C128" s="36">
        <v>1</v>
      </c>
      <c r="D128" s="14">
        <v>2968.56</v>
      </c>
      <c r="E128" s="14">
        <v>0</v>
      </c>
    </row>
    <row r="129" spans="1:5" x14ac:dyDescent="0.3">
      <c r="A129" s="13" t="s">
        <v>29</v>
      </c>
      <c r="B129" s="13" t="s">
        <v>1268</v>
      </c>
      <c r="C129" s="36">
        <v>20</v>
      </c>
      <c r="D129" s="14">
        <v>985545.8600000001</v>
      </c>
      <c r="E129" s="14">
        <v>0</v>
      </c>
    </row>
    <row r="130" spans="1:5" x14ac:dyDescent="0.3">
      <c r="A130" s="13" t="s">
        <v>29</v>
      </c>
      <c r="B130" s="13" t="s">
        <v>1269</v>
      </c>
      <c r="C130" s="36">
        <v>1</v>
      </c>
      <c r="D130" s="14">
        <v>27.96</v>
      </c>
      <c r="E130" s="14">
        <v>0</v>
      </c>
    </row>
    <row r="131" spans="1:5" x14ac:dyDescent="0.3">
      <c r="A131" s="13" t="s">
        <v>51</v>
      </c>
      <c r="B131" s="13" t="s">
        <v>1270</v>
      </c>
      <c r="C131" s="36">
        <v>1</v>
      </c>
      <c r="D131" s="14">
        <v>100000000</v>
      </c>
      <c r="E131" s="14">
        <v>0</v>
      </c>
    </row>
    <row r="132" spans="1:5" x14ac:dyDescent="0.3">
      <c r="A132" s="13" t="s">
        <v>51</v>
      </c>
      <c r="B132" s="13" t="s">
        <v>1271</v>
      </c>
      <c r="C132" s="36">
        <v>1</v>
      </c>
      <c r="D132" s="14">
        <v>70000000</v>
      </c>
      <c r="E132" s="14">
        <v>0</v>
      </c>
    </row>
    <row r="133" spans="1:5" x14ac:dyDescent="0.3">
      <c r="A133" s="13" t="s">
        <v>51</v>
      </c>
      <c r="B133" s="13" t="s">
        <v>1272</v>
      </c>
      <c r="C133" s="36">
        <v>1</v>
      </c>
      <c r="D133" s="14">
        <v>26415466.68</v>
      </c>
      <c r="E133" s="14">
        <v>0</v>
      </c>
    </row>
    <row r="134" spans="1:5" x14ac:dyDescent="0.3">
      <c r="A134" s="13" t="s">
        <v>51</v>
      </c>
      <c r="B134" s="13" t="s">
        <v>1273</v>
      </c>
      <c r="C134" s="36">
        <v>1</v>
      </c>
      <c r="D134" s="14">
        <v>11000000</v>
      </c>
      <c r="E134" s="14">
        <v>0</v>
      </c>
    </row>
    <row r="135" spans="1:5" x14ac:dyDescent="0.3">
      <c r="A135" s="13" t="s">
        <v>51</v>
      </c>
      <c r="B135" s="13" t="s">
        <v>1274</v>
      </c>
      <c r="C135" s="36">
        <v>1</v>
      </c>
      <c r="D135" s="14">
        <v>11000000</v>
      </c>
      <c r="E135" s="14">
        <v>0</v>
      </c>
    </row>
    <row r="136" spans="1:5" x14ac:dyDescent="0.3">
      <c r="A136" s="13" t="s">
        <v>51</v>
      </c>
      <c r="B136" s="13" t="s">
        <v>1275</v>
      </c>
      <c r="C136" s="36">
        <v>1</v>
      </c>
      <c r="D136" s="14">
        <v>11000000</v>
      </c>
      <c r="E136" s="14">
        <v>0</v>
      </c>
    </row>
    <row r="137" spans="1:5" x14ac:dyDescent="0.3">
      <c r="A137" s="13" t="s">
        <v>51</v>
      </c>
      <c r="B137" s="13" t="s">
        <v>1276</v>
      </c>
      <c r="C137" s="36">
        <v>1</v>
      </c>
      <c r="D137" s="14">
        <v>10615330</v>
      </c>
      <c r="E137" s="14">
        <v>0</v>
      </c>
    </row>
    <row r="138" spans="1:5" x14ac:dyDescent="0.3">
      <c r="A138" s="13" t="s">
        <v>51</v>
      </c>
      <c r="B138" s="13" t="s">
        <v>1277</v>
      </c>
      <c r="C138" s="36">
        <v>1</v>
      </c>
      <c r="D138" s="14">
        <v>10000000</v>
      </c>
      <c r="E138" s="14">
        <v>0</v>
      </c>
    </row>
    <row r="139" spans="1:5" x14ac:dyDescent="0.3">
      <c r="A139" s="13" t="s">
        <v>51</v>
      </c>
      <c r="B139" s="13" t="s">
        <v>1278</v>
      </c>
      <c r="C139" s="36">
        <v>1</v>
      </c>
      <c r="D139" s="14">
        <v>10000000</v>
      </c>
      <c r="E139" s="14">
        <v>0</v>
      </c>
    </row>
    <row r="140" spans="1:5" x14ac:dyDescent="0.3">
      <c r="A140" s="13" t="s">
        <v>51</v>
      </c>
      <c r="B140" s="13" t="s">
        <v>1279</v>
      </c>
      <c r="C140" s="36">
        <v>1</v>
      </c>
      <c r="D140" s="14">
        <v>9000000</v>
      </c>
      <c r="E140" s="14">
        <v>0</v>
      </c>
    </row>
    <row r="141" spans="1:5" x14ac:dyDescent="0.3">
      <c r="A141" s="13" t="s">
        <v>51</v>
      </c>
      <c r="B141" s="13" t="s">
        <v>1280</v>
      </c>
      <c r="C141" s="36">
        <v>1</v>
      </c>
      <c r="D141" s="14">
        <v>9000000</v>
      </c>
      <c r="E141" s="14">
        <v>0</v>
      </c>
    </row>
    <row r="142" spans="1:5" x14ac:dyDescent="0.3">
      <c r="A142" s="13" t="s">
        <v>51</v>
      </c>
      <c r="B142" s="13" t="s">
        <v>1281</v>
      </c>
      <c r="C142" s="36">
        <v>1</v>
      </c>
      <c r="D142" s="14">
        <v>9000000</v>
      </c>
      <c r="E142" s="14">
        <v>0</v>
      </c>
    </row>
    <row r="143" spans="1:5" x14ac:dyDescent="0.3">
      <c r="A143" s="13" t="s">
        <v>51</v>
      </c>
      <c r="B143" s="13" t="s">
        <v>1282</v>
      </c>
      <c r="C143" s="36">
        <v>1</v>
      </c>
      <c r="D143" s="14">
        <v>9000000</v>
      </c>
      <c r="E143" s="14">
        <v>0</v>
      </c>
    </row>
    <row r="144" spans="1:5" x14ac:dyDescent="0.3">
      <c r="A144" s="13" t="s">
        <v>51</v>
      </c>
      <c r="B144" s="13" t="s">
        <v>1283</v>
      </c>
      <c r="C144" s="36">
        <v>1</v>
      </c>
      <c r="D144" s="14">
        <v>8000000</v>
      </c>
      <c r="E144" s="14">
        <v>0</v>
      </c>
    </row>
    <row r="145" spans="1:5" x14ac:dyDescent="0.3">
      <c r="A145" s="13" t="s">
        <v>51</v>
      </c>
      <c r="B145" s="13" t="s">
        <v>1284</v>
      </c>
      <c r="C145" s="36">
        <v>1</v>
      </c>
      <c r="D145" s="14">
        <v>7643370</v>
      </c>
      <c r="E145" s="14">
        <v>0</v>
      </c>
    </row>
    <row r="146" spans="1:5" x14ac:dyDescent="0.3">
      <c r="A146" s="13" t="s">
        <v>51</v>
      </c>
      <c r="B146" s="13" t="s">
        <v>1285</v>
      </c>
      <c r="C146" s="36">
        <v>1</v>
      </c>
      <c r="D146" s="14">
        <v>6000000</v>
      </c>
      <c r="E146" s="14">
        <v>0</v>
      </c>
    </row>
    <row r="147" spans="1:5" x14ac:dyDescent="0.3">
      <c r="A147" s="13" t="s">
        <v>51</v>
      </c>
      <c r="B147" s="13" t="s">
        <v>1286</v>
      </c>
      <c r="C147" s="36">
        <v>1</v>
      </c>
      <c r="D147" s="14">
        <v>5000000</v>
      </c>
      <c r="E147" s="14">
        <v>0</v>
      </c>
    </row>
    <row r="148" spans="1:5" x14ac:dyDescent="0.3">
      <c r="A148" s="13" t="s">
        <v>51</v>
      </c>
      <c r="B148" s="13" t="s">
        <v>1287</v>
      </c>
      <c r="C148" s="36">
        <v>1</v>
      </c>
      <c r="D148" s="14">
        <v>5000000</v>
      </c>
      <c r="E148" s="14">
        <v>0</v>
      </c>
    </row>
    <row r="149" spans="1:5" x14ac:dyDescent="0.3">
      <c r="A149" s="13" t="s">
        <v>51</v>
      </c>
      <c r="B149" s="13" t="s">
        <v>1288</v>
      </c>
      <c r="C149" s="36">
        <v>1</v>
      </c>
      <c r="D149" s="14">
        <v>4713252.5</v>
      </c>
      <c r="E149" s="14">
        <v>0</v>
      </c>
    </row>
    <row r="150" spans="1:5" x14ac:dyDescent="0.3">
      <c r="A150" s="13" t="s">
        <v>51</v>
      </c>
      <c r="B150" s="13" t="s">
        <v>1289</v>
      </c>
      <c r="C150" s="36">
        <v>1</v>
      </c>
      <c r="D150" s="14">
        <v>4500000</v>
      </c>
      <c r="E150" s="14">
        <v>0</v>
      </c>
    </row>
    <row r="151" spans="1:5" x14ac:dyDescent="0.3">
      <c r="A151" s="13" t="s">
        <v>51</v>
      </c>
      <c r="B151" s="13" t="s">
        <v>1290</v>
      </c>
      <c r="C151" s="36">
        <v>1</v>
      </c>
      <c r="D151" s="14">
        <v>4108378.73</v>
      </c>
      <c r="E151" s="14">
        <v>0</v>
      </c>
    </row>
    <row r="152" spans="1:5" x14ac:dyDescent="0.3">
      <c r="A152" s="13" t="s">
        <v>51</v>
      </c>
      <c r="B152" s="13" t="s">
        <v>1291</v>
      </c>
      <c r="C152" s="36">
        <v>1</v>
      </c>
      <c r="D152" s="14">
        <v>3623449.92</v>
      </c>
      <c r="E152" s="14">
        <v>0</v>
      </c>
    </row>
    <row r="153" spans="1:5" x14ac:dyDescent="0.3">
      <c r="A153" s="13" t="s">
        <v>51</v>
      </c>
      <c r="B153" s="13" t="s">
        <v>1292</v>
      </c>
      <c r="C153" s="36">
        <v>1</v>
      </c>
      <c r="D153" s="14">
        <v>3000000</v>
      </c>
      <c r="E153" s="14">
        <v>0</v>
      </c>
    </row>
    <row r="154" spans="1:5" x14ac:dyDescent="0.3">
      <c r="A154" s="13" t="s">
        <v>51</v>
      </c>
      <c r="B154" s="13" t="s">
        <v>1293</v>
      </c>
      <c r="C154" s="36">
        <v>1</v>
      </c>
      <c r="D154" s="14">
        <v>3000000</v>
      </c>
      <c r="E154" s="14">
        <v>0</v>
      </c>
    </row>
    <row r="155" spans="1:5" x14ac:dyDescent="0.3">
      <c r="A155" s="13" t="s">
        <v>51</v>
      </c>
      <c r="B155" s="13" t="s">
        <v>1294</v>
      </c>
      <c r="C155" s="36">
        <v>1</v>
      </c>
      <c r="D155" s="14">
        <v>2502157</v>
      </c>
      <c r="E155" s="14">
        <v>0</v>
      </c>
    </row>
    <row r="156" spans="1:5" x14ac:dyDescent="0.3">
      <c r="A156" s="13" t="s">
        <v>51</v>
      </c>
      <c r="B156" s="13" t="s">
        <v>1295</v>
      </c>
      <c r="C156" s="36">
        <v>1</v>
      </c>
      <c r="D156" s="14">
        <v>2500000</v>
      </c>
      <c r="E156" s="14">
        <v>0</v>
      </c>
    </row>
    <row r="157" spans="1:5" x14ac:dyDescent="0.3">
      <c r="A157" s="13" t="s">
        <v>51</v>
      </c>
      <c r="B157" s="13" t="s">
        <v>1296</v>
      </c>
      <c r="C157" s="36">
        <v>1</v>
      </c>
      <c r="D157" s="14">
        <v>2500000</v>
      </c>
      <c r="E157" s="14">
        <v>0</v>
      </c>
    </row>
    <row r="158" spans="1:5" x14ac:dyDescent="0.3">
      <c r="A158" s="13" t="s">
        <v>51</v>
      </c>
      <c r="B158" s="13" t="s">
        <v>1297</v>
      </c>
      <c r="C158" s="36">
        <v>1</v>
      </c>
      <c r="D158" s="14">
        <v>2450000</v>
      </c>
      <c r="E158" s="14">
        <v>0</v>
      </c>
    </row>
    <row r="159" spans="1:5" x14ac:dyDescent="0.3">
      <c r="A159" s="13" t="s">
        <v>51</v>
      </c>
      <c r="B159" s="13" t="s">
        <v>1298</v>
      </c>
      <c r="C159" s="36">
        <v>1</v>
      </c>
      <c r="D159" s="14">
        <v>2114000</v>
      </c>
      <c r="E159" s="14">
        <v>0</v>
      </c>
    </row>
    <row r="160" spans="1:5" x14ac:dyDescent="0.3">
      <c r="A160" s="13" t="s">
        <v>51</v>
      </c>
      <c r="B160" s="13" t="s">
        <v>1299</v>
      </c>
      <c r="C160" s="36">
        <v>1</v>
      </c>
      <c r="D160" s="14">
        <v>2035977</v>
      </c>
      <c r="E160" s="14">
        <v>0</v>
      </c>
    </row>
    <row r="161" spans="1:5" x14ac:dyDescent="0.3">
      <c r="A161" s="13" t="s">
        <v>51</v>
      </c>
      <c r="B161" s="13" t="s">
        <v>1300</v>
      </c>
      <c r="C161" s="36">
        <v>1</v>
      </c>
      <c r="D161" s="14">
        <v>2000000</v>
      </c>
      <c r="E161" s="14">
        <v>0</v>
      </c>
    </row>
    <row r="162" spans="1:5" x14ac:dyDescent="0.3">
      <c r="A162" s="13" t="s">
        <v>51</v>
      </c>
      <c r="B162" s="13" t="s">
        <v>1301</v>
      </c>
      <c r="C162" s="36">
        <v>1</v>
      </c>
      <c r="D162" s="14">
        <v>1711438</v>
      </c>
      <c r="E162" s="14">
        <v>0</v>
      </c>
    </row>
    <row r="163" spans="1:5" x14ac:dyDescent="0.3">
      <c r="A163" s="13" t="s">
        <v>51</v>
      </c>
      <c r="B163" s="13" t="s">
        <v>1302</v>
      </c>
      <c r="C163" s="36">
        <v>1</v>
      </c>
      <c r="D163" s="14">
        <v>1559691</v>
      </c>
      <c r="E163" s="14">
        <v>0</v>
      </c>
    </row>
    <row r="164" spans="1:5" x14ac:dyDescent="0.3">
      <c r="A164" s="13" t="s">
        <v>51</v>
      </c>
      <c r="B164" s="13" t="s">
        <v>1303</v>
      </c>
      <c r="C164" s="36">
        <v>1</v>
      </c>
      <c r="D164" s="14">
        <v>1558338</v>
      </c>
      <c r="E164" s="14">
        <v>0</v>
      </c>
    </row>
    <row r="165" spans="1:5" x14ac:dyDescent="0.3">
      <c r="A165" s="13" t="s">
        <v>51</v>
      </c>
      <c r="B165" s="13" t="s">
        <v>1304</v>
      </c>
      <c r="C165" s="36">
        <v>1</v>
      </c>
      <c r="D165" s="14">
        <v>1550633</v>
      </c>
      <c r="E165" s="14">
        <v>0</v>
      </c>
    </row>
    <row r="166" spans="1:5" x14ac:dyDescent="0.3">
      <c r="A166" s="13" t="s">
        <v>51</v>
      </c>
      <c r="B166" s="13" t="s">
        <v>1305</v>
      </c>
      <c r="C166" s="36">
        <v>1</v>
      </c>
      <c r="D166" s="14">
        <v>1549785</v>
      </c>
      <c r="E166" s="14">
        <v>0</v>
      </c>
    </row>
    <row r="167" spans="1:5" x14ac:dyDescent="0.3">
      <c r="A167" s="13" t="s">
        <v>51</v>
      </c>
      <c r="B167" s="13" t="s">
        <v>1306</v>
      </c>
      <c r="C167" s="36">
        <v>1</v>
      </c>
      <c r="D167" s="14">
        <v>1545864.54</v>
      </c>
      <c r="E167" s="14">
        <v>0</v>
      </c>
    </row>
    <row r="168" spans="1:5" x14ac:dyDescent="0.3">
      <c r="A168" s="13" t="s">
        <v>51</v>
      </c>
      <c r="B168" s="13" t="s">
        <v>1307</v>
      </c>
      <c r="C168" s="36">
        <v>1</v>
      </c>
      <c r="D168" s="14">
        <v>1536141.96</v>
      </c>
      <c r="E168" s="14">
        <v>0</v>
      </c>
    </row>
    <row r="169" spans="1:5" x14ac:dyDescent="0.3">
      <c r="A169" s="13" t="s">
        <v>51</v>
      </c>
      <c r="B169" s="13" t="s">
        <v>1308</v>
      </c>
      <c r="C169" s="36">
        <v>1</v>
      </c>
      <c r="D169" s="14">
        <v>1518181</v>
      </c>
      <c r="E169" s="14">
        <v>0</v>
      </c>
    </row>
    <row r="170" spans="1:5" x14ac:dyDescent="0.3">
      <c r="A170" s="13" t="s">
        <v>51</v>
      </c>
      <c r="B170" s="13" t="s">
        <v>1309</v>
      </c>
      <c r="C170" s="36">
        <v>1</v>
      </c>
      <c r="D170" s="14">
        <v>1500000</v>
      </c>
      <c r="E170" s="14">
        <v>0</v>
      </c>
    </row>
    <row r="171" spans="1:5" x14ac:dyDescent="0.3">
      <c r="A171" s="13" t="s">
        <v>51</v>
      </c>
      <c r="B171" s="13" t="s">
        <v>1310</v>
      </c>
      <c r="C171" s="36">
        <v>1</v>
      </c>
      <c r="D171" s="14">
        <v>1500000</v>
      </c>
      <c r="E171" s="14">
        <v>0</v>
      </c>
    </row>
    <row r="172" spans="1:5" x14ac:dyDescent="0.3">
      <c r="A172" s="13" t="s">
        <v>51</v>
      </c>
      <c r="B172" s="13" t="s">
        <v>1311</v>
      </c>
      <c r="C172" s="36">
        <v>1</v>
      </c>
      <c r="D172" s="14">
        <v>1500000</v>
      </c>
      <c r="E172" s="14">
        <v>0</v>
      </c>
    </row>
    <row r="173" spans="1:5" x14ac:dyDescent="0.3">
      <c r="A173" s="13" t="s">
        <v>51</v>
      </c>
      <c r="B173" s="13" t="s">
        <v>1312</v>
      </c>
      <c r="C173" s="36">
        <v>1</v>
      </c>
      <c r="D173" s="14">
        <v>1489589</v>
      </c>
      <c r="E173" s="14">
        <v>0</v>
      </c>
    </row>
    <row r="174" spans="1:5" x14ac:dyDescent="0.3">
      <c r="A174" s="13" t="s">
        <v>51</v>
      </c>
      <c r="B174" s="13" t="s">
        <v>1313</v>
      </c>
      <c r="C174" s="36">
        <v>1</v>
      </c>
      <c r="D174" s="14">
        <v>1436365.77</v>
      </c>
      <c r="E174" s="14">
        <v>0</v>
      </c>
    </row>
    <row r="175" spans="1:5" x14ac:dyDescent="0.3">
      <c r="A175" s="13" t="s">
        <v>51</v>
      </c>
      <c r="B175" s="13" t="s">
        <v>1314</v>
      </c>
      <c r="C175" s="36">
        <v>1</v>
      </c>
      <c r="D175" s="14">
        <v>1432964</v>
      </c>
      <c r="E175" s="14">
        <v>0</v>
      </c>
    </row>
    <row r="176" spans="1:5" x14ac:dyDescent="0.3">
      <c r="A176" s="13" t="s">
        <v>51</v>
      </c>
      <c r="B176" s="13" t="s">
        <v>1315</v>
      </c>
      <c r="C176" s="36">
        <v>1</v>
      </c>
      <c r="D176" s="14">
        <v>1432336</v>
      </c>
      <c r="E176" s="14">
        <v>0</v>
      </c>
    </row>
    <row r="177" spans="1:5" x14ac:dyDescent="0.3">
      <c r="A177" s="13" t="s">
        <v>51</v>
      </c>
      <c r="B177" s="13" t="s">
        <v>1316</v>
      </c>
      <c r="C177" s="36">
        <v>1</v>
      </c>
      <c r="D177" s="14">
        <v>1422877</v>
      </c>
      <c r="E177" s="14">
        <v>0</v>
      </c>
    </row>
    <row r="178" spans="1:5" x14ac:dyDescent="0.3">
      <c r="A178" s="13" t="s">
        <v>51</v>
      </c>
      <c r="B178" s="13" t="s">
        <v>1317</v>
      </c>
      <c r="C178" s="36">
        <v>1</v>
      </c>
      <c r="D178" s="14">
        <v>1422877</v>
      </c>
      <c r="E178" s="14">
        <v>0</v>
      </c>
    </row>
    <row r="179" spans="1:5" x14ac:dyDescent="0.3">
      <c r="A179" s="13" t="s">
        <v>51</v>
      </c>
      <c r="B179" s="13" t="s">
        <v>1318</v>
      </c>
      <c r="C179" s="36">
        <v>1</v>
      </c>
      <c r="D179" s="14">
        <v>1412040</v>
      </c>
      <c r="E179" s="14">
        <v>0</v>
      </c>
    </row>
    <row r="180" spans="1:5" x14ac:dyDescent="0.3">
      <c r="A180" s="13" t="s">
        <v>51</v>
      </c>
      <c r="B180" s="13" t="s">
        <v>1319</v>
      </c>
      <c r="C180" s="36">
        <v>1</v>
      </c>
      <c r="D180" s="14">
        <v>1409610</v>
      </c>
      <c r="E180" s="14">
        <v>0</v>
      </c>
    </row>
    <row r="181" spans="1:5" x14ac:dyDescent="0.3">
      <c r="A181" s="13" t="s">
        <v>51</v>
      </c>
      <c r="B181" s="13" t="s">
        <v>1320</v>
      </c>
      <c r="C181" s="36">
        <v>1</v>
      </c>
      <c r="D181" s="14">
        <v>1396670</v>
      </c>
      <c r="E181" s="14">
        <v>0</v>
      </c>
    </row>
    <row r="182" spans="1:5" x14ac:dyDescent="0.3">
      <c r="A182" s="13" t="s">
        <v>51</v>
      </c>
      <c r="B182" s="13" t="s">
        <v>1321</v>
      </c>
      <c r="C182" s="36">
        <v>1</v>
      </c>
      <c r="D182" s="14">
        <v>1395879.99</v>
      </c>
      <c r="E182" s="14">
        <v>0</v>
      </c>
    </row>
    <row r="183" spans="1:5" x14ac:dyDescent="0.3">
      <c r="A183" s="13" t="s">
        <v>51</v>
      </c>
      <c r="B183" s="13" t="s">
        <v>1322</v>
      </c>
      <c r="C183" s="36">
        <v>1</v>
      </c>
      <c r="D183" s="14">
        <v>1373064</v>
      </c>
      <c r="E183" s="14">
        <v>0</v>
      </c>
    </row>
    <row r="184" spans="1:5" x14ac:dyDescent="0.3">
      <c r="A184" s="13" t="s">
        <v>51</v>
      </c>
      <c r="B184" s="13" t="s">
        <v>1323</v>
      </c>
      <c r="C184" s="36">
        <v>1</v>
      </c>
      <c r="D184" s="14">
        <v>1358204</v>
      </c>
      <c r="E184" s="14">
        <v>0</v>
      </c>
    </row>
    <row r="185" spans="1:5" x14ac:dyDescent="0.3">
      <c r="A185" s="13" t="s">
        <v>51</v>
      </c>
      <c r="B185" s="13" t="s">
        <v>1324</v>
      </c>
      <c r="C185" s="36">
        <v>1</v>
      </c>
      <c r="D185" s="14">
        <v>1219443</v>
      </c>
      <c r="E185" s="14">
        <v>0</v>
      </c>
    </row>
    <row r="186" spans="1:5" x14ac:dyDescent="0.3">
      <c r="A186" s="13" t="s">
        <v>51</v>
      </c>
      <c r="B186" s="13" t="s">
        <v>1325</v>
      </c>
      <c r="C186" s="36">
        <v>1</v>
      </c>
      <c r="D186" s="14">
        <v>1209582</v>
      </c>
      <c r="E186" s="14">
        <v>0</v>
      </c>
    </row>
    <row r="187" spans="1:5" x14ac:dyDescent="0.3">
      <c r="A187" s="13" t="s">
        <v>51</v>
      </c>
      <c r="B187" s="13" t="s">
        <v>1326</v>
      </c>
      <c r="C187" s="36">
        <v>1</v>
      </c>
      <c r="D187" s="14">
        <v>1205540.25</v>
      </c>
      <c r="E187" s="14">
        <v>0</v>
      </c>
    </row>
    <row r="188" spans="1:5" x14ac:dyDescent="0.3">
      <c r="A188" s="13" t="s">
        <v>51</v>
      </c>
      <c r="B188" s="13" t="s">
        <v>1327</v>
      </c>
      <c r="C188" s="36">
        <v>1</v>
      </c>
      <c r="D188" s="14">
        <v>1175992</v>
      </c>
      <c r="E188" s="14">
        <v>0</v>
      </c>
    </row>
    <row r="189" spans="1:5" x14ac:dyDescent="0.3">
      <c r="A189" s="13" t="s">
        <v>51</v>
      </c>
      <c r="B189" s="13" t="s">
        <v>1328</v>
      </c>
      <c r="C189" s="36">
        <v>1</v>
      </c>
      <c r="D189" s="14">
        <v>1167855</v>
      </c>
      <c r="E189" s="14">
        <v>0</v>
      </c>
    </row>
    <row r="190" spans="1:5" x14ac:dyDescent="0.3">
      <c r="A190" s="13" t="s">
        <v>51</v>
      </c>
      <c r="B190" s="13" t="s">
        <v>1329</v>
      </c>
      <c r="C190" s="36">
        <v>1</v>
      </c>
      <c r="D190" s="14">
        <v>1138576</v>
      </c>
      <c r="E190" s="14">
        <v>0</v>
      </c>
    </row>
    <row r="191" spans="1:5" x14ac:dyDescent="0.3">
      <c r="A191" s="13" t="s">
        <v>51</v>
      </c>
      <c r="B191" s="13" t="s">
        <v>1330</v>
      </c>
      <c r="C191" s="36">
        <v>1</v>
      </c>
      <c r="D191" s="14">
        <v>1113200</v>
      </c>
      <c r="E191" s="14">
        <v>0</v>
      </c>
    </row>
    <row r="192" spans="1:5" x14ac:dyDescent="0.3">
      <c r="A192" s="13" t="s">
        <v>51</v>
      </c>
      <c r="B192" s="13" t="s">
        <v>1331</v>
      </c>
      <c r="C192" s="36">
        <v>1</v>
      </c>
      <c r="D192" s="14">
        <v>1071148</v>
      </c>
      <c r="E192" s="14">
        <v>0</v>
      </c>
    </row>
    <row r="193" spans="1:5" x14ac:dyDescent="0.3">
      <c r="A193" s="13" t="s">
        <v>51</v>
      </c>
      <c r="B193" s="13" t="s">
        <v>1332</v>
      </c>
      <c r="C193" s="36">
        <v>1</v>
      </c>
      <c r="D193" s="14">
        <v>1028643</v>
      </c>
      <c r="E193" s="14">
        <v>0</v>
      </c>
    </row>
    <row r="194" spans="1:5" x14ac:dyDescent="0.3">
      <c r="A194" s="13" t="s">
        <v>51</v>
      </c>
      <c r="B194" s="13" t="s">
        <v>1333</v>
      </c>
      <c r="C194" s="36">
        <v>1</v>
      </c>
      <c r="D194" s="14">
        <v>1006489.17</v>
      </c>
      <c r="E194" s="14">
        <v>0</v>
      </c>
    </row>
    <row r="195" spans="1:5" x14ac:dyDescent="0.3">
      <c r="A195" s="13" t="s">
        <v>51</v>
      </c>
      <c r="B195" s="13" t="s">
        <v>1334</v>
      </c>
      <c r="C195" s="36">
        <v>1</v>
      </c>
      <c r="D195" s="14">
        <v>1000000</v>
      </c>
      <c r="E195" s="14">
        <v>0</v>
      </c>
    </row>
    <row r="196" spans="1:5" x14ac:dyDescent="0.3">
      <c r="A196" s="13" t="s">
        <v>51</v>
      </c>
      <c r="B196" s="13" t="s">
        <v>1335</v>
      </c>
      <c r="C196" s="36">
        <v>1</v>
      </c>
      <c r="D196" s="14">
        <v>934228.37</v>
      </c>
      <c r="E196" s="14">
        <v>0</v>
      </c>
    </row>
    <row r="197" spans="1:5" x14ac:dyDescent="0.3">
      <c r="A197" s="13" t="s">
        <v>51</v>
      </c>
      <c r="B197" s="13" t="s">
        <v>1336</v>
      </c>
      <c r="C197" s="36">
        <v>1</v>
      </c>
      <c r="D197" s="14">
        <v>932782</v>
      </c>
      <c r="E197" s="14">
        <v>0</v>
      </c>
    </row>
    <row r="198" spans="1:5" x14ac:dyDescent="0.3">
      <c r="A198" s="13" t="s">
        <v>51</v>
      </c>
      <c r="B198" s="13" t="s">
        <v>1337</v>
      </c>
      <c r="C198" s="36">
        <v>1</v>
      </c>
      <c r="D198" s="14">
        <v>920576.26</v>
      </c>
      <c r="E198" s="14">
        <v>0</v>
      </c>
    </row>
    <row r="199" spans="1:5" x14ac:dyDescent="0.3">
      <c r="A199" s="13" t="s">
        <v>51</v>
      </c>
      <c r="B199" s="13" t="s">
        <v>1338</v>
      </c>
      <c r="C199" s="36">
        <v>1</v>
      </c>
      <c r="D199" s="14">
        <v>902000</v>
      </c>
      <c r="E199" s="14">
        <v>0</v>
      </c>
    </row>
    <row r="200" spans="1:5" x14ac:dyDescent="0.3">
      <c r="A200" s="13" t="s">
        <v>51</v>
      </c>
      <c r="B200" s="13" t="s">
        <v>1339</v>
      </c>
      <c r="C200" s="36">
        <v>1</v>
      </c>
      <c r="D200" s="14">
        <v>866549.56</v>
      </c>
      <c r="E200" s="14">
        <v>0</v>
      </c>
    </row>
    <row r="201" spans="1:5" x14ac:dyDescent="0.3">
      <c r="A201" s="13" t="s">
        <v>51</v>
      </c>
      <c r="B201" s="13" t="s">
        <v>1340</v>
      </c>
      <c r="C201" s="36">
        <v>1</v>
      </c>
      <c r="D201" s="14">
        <v>862730</v>
      </c>
      <c r="E201" s="14">
        <v>0</v>
      </c>
    </row>
    <row r="202" spans="1:5" x14ac:dyDescent="0.3">
      <c r="A202" s="13" t="s">
        <v>51</v>
      </c>
      <c r="B202" s="13" t="s">
        <v>1341</v>
      </c>
      <c r="C202" s="36">
        <v>1</v>
      </c>
      <c r="D202" s="14">
        <v>851003.8</v>
      </c>
      <c r="E202" s="14">
        <v>0</v>
      </c>
    </row>
    <row r="203" spans="1:5" x14ac:dyDescent="0.3">
      <c r="A203" s="13" t="s">
        <v>51</v>
      </c>
      <c r="B203" s="13" t="s">
        <v>1342</v>
      </c>
      <c r="C203" s="36">
        <v>1</v>
      </c>
      <c r="D203" s="14">
        <v>851000</v>
      </c>
      <c r="E203" s="14">
        <v>0</v>
      </c>
    </row>
    <row r="204" spans="1:5" x14ac:dyDescent="0.3">
      <c r="A204" s="13" t="s">
        <v>51</v>
      </c>
      <c r="B204" s="13" t="s">
        <v>1343</v>
      </c>
      <c r="C204" s="36">
        <v>1</v>
      </c>
      <c r="D204" s="14">
        <v>810669.2</v>
      </c>
      <c r="E204" s="14">
        <v>0</v>
      </c>
    </row>
    <row r="205" spans="1:5" x14ac:dyDescent="0.3">
      <c r="A205" s="13" t="s">
        <v>51</v>
      </c>
      <c r="B205" s="13" t="s">
        <v>1344</v>
      </c>
      <c r="C205" s="36">
        <v>1</v>
      </c>
      <c r="D205" s="14">
        <v>800000</v>
      </c>
      <c r="E205" s="14">
        <v>0</v>
      </c>
    </row>
    <row r="206" spans="1:5" x14ac:dyDescent="0.3">
      <c r="A206" s="13" t="s">
        <v>51</v>
      </c>
      <c r="B206" s="13" t="s">
        <v>1345</v>
      </c>
      <c r="C206" s="36">
        <v>1</v>
      </c>
      <c r="D206" s="14">
        <v>710000</v>
      </c>
      <c r="E206" s="14">
        <v>0</v>
      </c>
    </row>
    <row r="207" spans="1:5" x14ac:dyDescent="0.3">
      <c r="A207" s="13" t="s">
        <v>51</v>
      </c>
      <c r="B207" s="13" t="s">
        <v>1346</v>
      </c>
      <c r="C207" s="36">
        <v>1</v>
      </c>
      <c r="D207" s="14">
        <v>690000</v>
      </c>
      <c r="E207" s="14">
        <v>0</v>
      </c>
    </row>
    <row r="208" spans="1:5" x14ac:dyDescent="0.3">
      <c r="A208" s="13" t="s">
        <v>51</v>
      </c>
      <c r="B208" s="13" t="s">
        <v>1347</v>
      </c>
      <c r="C208" s="36">
        <v>1</v>
      </c>
      <c r="D208" s="14">
        <v>649197.59</v>
      </c>
      <c r="E208" s="14">
        <v>0</v>
      </c>
    </row>
    <row r="209" spans="1:5" x14ac:dyDescent="0.3">
      <c r="A209" s="13" t="s">
        <v>51</v>
      </c>
      <c r="B209" s="13" t="s">
        <v>1348</v>
      </c>
      <c r="C209" s="36">
        <v>1</v>
      </c>
      <c r="D209" s="14">
        <v>623535.93000000005</v>
      </c>
      <c r="E209" s="14">
        <v>0</v>
      </c>
    </row>
    <row r="210" spans="1:5" x14ac:dyDescent="0.3">
      <c r="A210" s="13" t="s">
        <v>51</v>
      </c>
      <c r="B210" s="13" t="s">
        <v>1349</v>
      </c>
      <c r="C210" s="36">
        <v>1</v>
      </c>
      <c r="D210" s="14">
        <v>586850</v>
      </c>
      <c r="E210" s="14">
        <v>0</v>
      </c>
    </row>
    <row r="211" spans="1:5" x14ac:dyDescent="0.3">
      <c r="A211" s="13" t="s">
        <v>51</v>
      </c>
      <c r="B211" s="13" t="s">
        <v>1350</v>
      </c>
      <c r="C211" s="36">
        <v>1</v>
      </c>
      <c r="D211" s="14">
        <v>559668.68000000005</v>
      </c>
      <c r="E211" s="14">
        <v>0</v>
      </c>
    </row>
    <row r="212" spans="1:5" x14ac:dyDescent="0.3">
      <c r="A212" s="13" t="s">
        <v>51</v>
      </c>
      <c r="B212" s="13" t="s">
        <v>1351</v>
      </c>
      <c r="C212" s="36">
        <v>1</v>
      </c>
      <c r="D212" s="14">
        <v>542786.63</v>
      </c>
      <c r="E212" s="14">
        <v>0</v>
      </c>
    </row>
    <row r="213" spans="1:5" x14ac:dyDescent="0.3">
      <c r="A213" s="13" t="s">
        <v>51</v>
      </c>
      <c r="B213" s="13" t="s">
        <v>1352</v>
      </c>
      <c r="C213" s="36">
        <v>1</v>
      </c>
      <c r="D213" s="14">
        <v>532160.57999999996</v>
      </c>
      <c r="E213" s="14">
        <v>0</v>
      </c>
    </row>
    <row r="214" spans="1:5" x14ac:dyDescent="0.3">
      <c r="A214" s="13" t="s">
        <v>51</v>
      </c>
      <c r="B214" s="13" t="s">
        <v>1353</v>
      </c>
      <c r="C214" s="36">
        <v>1</v>
      </c>
      <c r="D214" s="14">
        <v>500000</v>
      </c>
      <c r="E214" s="14">
        <v>0</v>
      </c>
    </row>
    <row r="215" spans="1:5" x14ac:dyDescent="0.3">
      <c r="A215" s="13" t="s">
        <v>51</v>
      </c>
      <c r="B215" s="13" t="s">
        <v>1354</v>
      </c>
      <c r="C215" s="36">
        <v>1</v>
      </c>
      <c r="D215" s="14">
        <v>500000</v>
      </c>
      <c r="E215" s="14">
        <v>0</v>
      </c>
    </row>
    <row r="216" spans="1:5" x14ac:dyDescent="0.3">
      <c r="A216" s="13" t="s">
        <v>51</v>
      </c>
      <c r="B216" s="13" t="s">
        <v>1355</v>
      </c>
      <c r="C216" s="36">
        <v>1</v>
      </c>
      <c r="D216" s="14">
        <v>500000</v>
      </c>
      <c r="E216" s="14">
        <v>0</v>
      </c>
    </row>
    <row r="217" spans="1:5" x14ac:dyDescent="0.3">
      <c r="A217" s="13" t="s">
        <v>51</v>
      </c>
      <c r="B217" s="13" t="s">
        <v>1356</v>
      </c>
      <c r="C217" s="36">
        <v>1</v>
      </c>
      <c r="D217" s="14">
        <v>490959.39</v>
      </c>
      <c r="E217" s="14">
        <v>0</v>
      </c>
    </row>
    <row r="218" spans="1:5" x14ac:dyDescent="0.3">
      <c r="A218" s="13" t="s">
        <v>51</v>
      </c>
      <c r="B218" s="13" t="s">
        <v>1357</v>
      </c>
      <c r="C218" s="36">
        <v>1</v>
      </c>
      <c r="D218" s="14">
        <v>487018.92</v>
      </c>
      <c r="E218" s="14">
        <v>0</v>
      </c>
    </row>
    <row r="219" spans="1:5" x14ac:dyDescent="0.3">
      <c r="A219" s="13" t="s">
        <v>51</v>
      </c>
      <c r="B219" s="13" t="s">
        <v>1358</v>
      </c>
      <c r="C219" s="36">
        <v>1</v>
      </c>
      <c r="D219" s="14">
        <v>459242.49</v>
      </c>
      <c r="E219" s="14">
        <v>0</v>
      </c>
    </row>
    <row r="220" spans="1:5" x14ac:dyDescent="0.3">
      <c r="A220" s="13" t="s">
        <v>51</v>
      </c>
      <c r="B220" s="13" t="s">
        <v>1359</v>
      </c>
      <c r="C220" s="36">
        <v>1</v>
      </c>
      <c r="D220" s="14">
        <v>450000</v>
      </c>
      <c r="E220" s="14">
        <v>0</v>
      </c>
    </row>
    <row r="221" spans="1:5" x14ac:dyDescent="0.3">
      <c r="A221" s="13" t="s">
        <v>51</v>
      </c>
      <c r="B221" s="13" t="s">
        <v>1360</v>
      </c>
      <c r="C221" s="36">
        <v>1</v>
      </c>
      <c r="D221" s="14">
        <v>440846.7</v>
      </c>
      <c r="E221" s="14">
        <v>0</v>
      </c>
    </row>
    <row r="222" spans="1:5" x14ac:dyDescent="0.3">
      <c r="A222" s="13" t="s">
        <v>51</v>
      </c>
      <c r="B222" s="13" t="s">
        <v>1361</v>
      </c>
      <c r="C222" s="36">
        <v>1</v>
      </c>
      <c r="D222" s="14">
        <v>440846.7</v>
      </c>
      <c r="E222" s="14">
        <v>0</v>
      </c>
    </row>
    <row r="223" spans="1:5" x14ac:dyDescent="0.3">
      <c r="A223" s="13" t="s">
        <v>51</v>
      </c>
      <c r="B223" s="13" t="s">
        <v>1362</v>
      </c>
      <c r="C223" s="36">
        <v>1</v>
      </c>
      <c r="D223" s="14">
        <v>433903.21</v>
      </c>
      <c r="E223" s="14">
        <v>0</v>
      </c>
    </row>
    <row r="224" spans="1:5" x14ac:dyDescent="0.3">
      <c r="A224" s="13" t="s">
        <v>51</v>
      </c>
      <c r="B224" s="13" t="s">
        <v>1363</v>
      </c>
      <c r="C224" s="36">
        <v>1</v>
      </c>
      <c r="D224" s="14">
        <v>404268.98</v>
      </c>
      <c r="E224" s="14">
        <v>0</v>
      </c>
    </row>
    <row r="225" spans="1:5" x14ac:dyDescent="0.3">
      <c r="A225" s="13" t="s">
        <v>51</v>
      </c>
      <c r="B225" s="13" t="s">
        <v>1364</v>
      </c>
      <c r="C225" s="36">
        <v>1</v>
      </c>
      <c r="D225" s="14">
        <v>386428.77</v>
      </c>
      <c r="E225" s="14">
        <v>0</v>
      </c>
    </row>
    <row r="226" spans="1:5" x14ac:dyDescent="0.3">
      <c r="A226" s="13" t="s">
        <v>51</v>
      </c>
      <c r="B226" s="13" t="s">
        <v>1365</v>
      </c>
      <c r="C226" s="36">
        <v>1</v>
      </c>
      <c r="D226" s="14">
        <v>353925</v>
      </c>
      <c r="E226" s="14">
        <v>0</v>
      </c>
    </row>
    <row r="227" spans="1:5" x14ac:dyDescent="0.3">
      <c r="A227" s="13" t="s">
        <v>51</v>
      </c>
      <c r="B227" s="13" t="s">
        <v>1366</v>
      </c>
      <c r="C227" s="36">
        <v>1</v>
      </c>
      <c r="D227" s="14">
        <v>324270</v>
      </c>
      <c r="E227" s="14">
        <v>0</v>
      </c>
    </row>
    <row r="228" spans="1:5" x14ac:dyDescent="0.3">
      <c r="A228" s="13" t="s">
        <v>51</v>
      </c>
      <c r="B228" s="13" t="s">
        <v>1367</v>
      </c>
      <c r="C228" s="36">
        <v>1</v>
      </c>
      <c r="D228" s="14">
        <v>306702.27</v>
      </c>
      <c r="E228" s="14">
        <v>0</v>
      </c>
    </row>
    <row r="229" spans="1:5" x14ac:dyDescent="0.3">
      <c r="A229" s="13" t="s">
        <v>51</v>
      </c>
      <c r="B229" s="13" t="s">
        <v>1368</v>
      </c>
      <c r="C229" s="36">
        <v>1</v>
      </c>
      <c r="D229" s="14">
        <v>292327.03999999998</v>
      </c>
      <c r="E229" s="14">
        <v>0</v>
      </c>
    </row>
    <row r="230" spans="1:5" x14ac:dyDescent="0.3">
      <c r="A230" s="13" t="s">
        <v>51</v>
      </c>
      <c r="B230" s="13" t="s">
        <v>1369</v>
      </c>
      <c r="C230" s="36">
        <v>1</v>
      </c>
      <c r="D230" s="14">
        <v>291284</v>
      </c>
      <c r="E230" s="14">
        <v>0</v>
      </c>
    </row>
    <row r="231" spans="1:5" x14ac:dyDescent="0.3">
      <c r="A231" s="13" t="s">
        <v>51</v>
      </c>
      <c r="B231" s="13" t="s">
        <v>1370</v>
      </c>
      <c r="C231" s="36">
        <v>1</v>
      </c>
      <c r="D231" s="14">
        <v>259806.86</v>
      </c>
      <c r="E231" s="14">
        <v>0</v>
      </c>
    </row>
    <row r="232" spans="1:5" x14ac:dyDescent="0.3">
      <c r="A232" s="13" t="s">
        <v>51</v>
      </c>
      <c r="B232" s="13" t="s">
        <v>1371</v>
      </c>
      <c r="C232" s="36">
        <v>1</v>
      </c>
      <c r="D232" s="14">
        <v>253421.8</v>
      </c>
      <c r="E232" s="14">
        <v>0</v>
      </c>
    </row>
    <row r="233" spans="1:5" x14ac:dyDescent="0.3">
      <c r="A233" s="13" t="s">
        <v>51</v>
      </c>
      <c r="B233" s="13" t="s">
        <v>1372</v>
      </c>
      <c r="C233" s="36">
        <v>1</v>
      </c>
      <c r="D233" s="14">
        <v>250092.5</v>
      </c>
      <c r="E233" s="14">
        <v>0</v>
      </c>
    </row>
    <row r="234" spans="1:5" x14ac:dyDescent="0.3">
      <c r="A234" s="13" t="s">
        <v>51</v>
      </c>
      <c r="B234" s="13" t="s">
        <v>1373</v>
      </c>
      <c r="C234" s="36">
        <v>1</v>
      </c>
      <c r="D234" s="14">
        <v>243090.94</v>
      </c>
      <c r="E234" s="14">
        <v>0</v>
      </c>
    </row>
    <row r="235" spans="1:5" x14ac:dyDescent="0.3">
      <c r="A235" s="13" t="s">
        <v>51</v>
      </c>
      <c r="B235" s="13" t="s">
        <v>1374</v>
      </c>
      <c r="C235" s="36">
        <v>1</v>
      </c>
      <c r="D235" s="14">
        <v>221006.25</v>
      </c>
      <c r="E235" s="14">
        <v>0</v>
      </c>
    </row>
    <row r="236" spans="1:5" x14ac:dyDescent="0.3">
      <c r="A236" s="13" t="s">
        <v>51</v>
      </c>
      <c r="B236" s="13" t="s">
        <v>1375</v>
      </c>
      <c r="C236" s="36">
        <v>1</v>
      </c>
      <c r="D236" s="14">
        <v>211750</v>
      </c>
      <c r="E236" s="14">
        <v>0</v>
      </c>
    </row>
    <row r="237" spans="1:5" x14ac:dyDescent="0.3">
      <c r="A237" s="13" t="s">
        <v>51</v>
      </c>
      <c r="B237" s="13" t="s">
        <v>1376</v>
      </c>
      <c r="C237" s="36">
        <v>1</v>
      </c>
      <c r="D237" s="14">
        <v>210267.75</v>
      </c>
      <c r="E237" s="14">
        <v>0</v>
      </c>
    </row>
    <row r="238" spans="1:5" x14ac:dyDescent="0.3">
      <c r="A238" s="13" t="s">
        <v>51</v>
      </c>
      <c r="B238" s="13" t="s">
        <v>1377</v>
      </c>
      <c r="C238" s="36">
        <v>1</v>
      </c>
      <c r="D238" s="14">
        <v>195570</v>
      </c>
      <c r="E238" s="14">
        <v>0</v>
      </c>
    </row>
    <row r="239" spans="1:5" x14ac:dyDescent="0.3">
      <c r="A239" s="13" t="s">
        <v>51</v>
      </c>
      <c r="B239" s="13" t="s">
        <v>1378</v>
      </c>
      <c r="C239" s="36">
        <v>1</v>
      </c>
      <c r="D239" s="14">
        <v>181720</v>
      </c>
      <c r="E239" s="14">
        <v>0</v>
      </c>
    </row>
    <row r="240" spans="1:5" x14ac:dyDescent="0.3">
      <c r="A240" s="13" t="s">
        <v>51</v>
      </c>
      <c r="B240" s="13" t="s">
        <v>1379</v>
      </c>
      <c r="C240" s="36">
        <v>1</v>
      </c>
      <c r="D240" s="14">
        <v>177000</v>
      </c>
      <c r="E240" s="14">
        <v>0</v>
      </c>
    </row>
    <row r="241" spans="1:5" x14ac:dyDescent="0.3">
      <c r="A241" s="13" t="s">
        <v>51</v>
      </c>
      <c r="B241" s="13" t="s">
        <v>1380</v>
      </c>
      <c r="C241" s="36">
        <v>1</v>
      </c>
      <c r="D241" s="14">
        <v>175593.51</v>
      </c>
      <c r="E241" s="14">
        <v>0</v>
      </c>
    </row>
    <row r="242" spans="1:5" x14ac:dyDescent="0.3">
      <c r="A242" s="13" t="s">
        <v>51</v>
      </c>
      <c r="B242" s="13" t="s">
        <v>1381</v>
      </c>
      <c r="C242" s="36">
        <v>1</v>
      </c>
      <c r="D242" s="14">
        <v>155000</v>
      </c>
      <c r="E242" s="14">
        <v>0</v>
      </c>
    </row>
    <row r="243" spans="1:5" x14ac:dyDescent="0.3">
      <c r="A243" s="13" t="s">
        <v>51</v>
      </c>
      <c r="B243" s="13" t="s">
        <v>1382</v>
      </c>
      <c r="C243" s="36">
        <v>1</v>
      </c>
      <c r="D243" s="14">
        <v>138293.60999999999</v>
      </c>
      <c r="E243" s="14">
        <v>0</v>
      </c>
    </row>
    <row r="244" spans="1:5" x14ac:dyDescent="0.3">
      <c r="A244" s="13" t="s">
        <v>51</v>
      </c>
      <c r="B244" s="13" t="s">
        <v>1383</v>
      </c>
      <c r="C244" s="36">
        <v>1</v>
      </c>
      <c r="D244" s="14">
        <v>131594.76</v>
      </c>
      <c r="E244" s="14">
        <v>0</v>
      </c>
    </row>
    <row r="245" spans="1:5" x14ac:dyDescent="0.3">
      <c r="A245" s="13" t="s">
        <v>51</v>
      </c>
      <c r="B245" s="13" t="s">
        <v>1384</v>
      </c>
      <c r="C245" s="36">
        <v>1</v>
      </c>
      <c r="D245" s="14">
        <v>124614</v>
      </c>
      <c r="E245" s="14">
        <v>0</v>
      </c>
    </row>
    <row r="246" spans="1:5" x14ac:dyDescent="0.3">
      <c r="A246" s="13" t="s">
        <v>51</v>
      </c>
      <c r="B246" s="13" t="s">
        <v>1385</v>
      </c>
      <c r="C246" s="36">
        <v>1</v>
      </c>
      <c r="D246" s="14">
        <v>121416.31</v>
      </c>
      <c r="E246" s="14">
        <v>0</v>
      </c>
    </row>
    <row r="247" spans="1:5" x14ac:dyDescent="0.3">
      <c r="A247" s="13" t="s">
        <v>51</v>
      </c>
      <c r="B247" s="13" t="s">
        <v>1386</v>
      </c>
      <c r="C247" s="36">
        <v>1</v>
      </c>
      <c r="D247" s="14">
        <v>117854.59</v>
      </c>
      <c r="E247" s="14">
        <v>0</v>
      </c>
    </row>
    <row r="248" spans="1:5" x14ac:dyDescent="0.3">
      <c r="A248" s="13" t="s">
        <v>51</v>
      </c>
      <c r="B248" s="13" t="s">
        <v>1387</v>
      </c>
      <c r="C248" s="36">
        <v>1</v>
      </c>
      <c r="D248" s="14">
        <v>116107.55</v>
      </c>
      <c r="E248" s="14">
        <v>0</v>
      </c>
    </row>
    <row r="249" spans="1:5" x14ac:dyDescent="0.3">
      <c r="A249" s="13" t="s">
        <v>51</v>
      </c>
      <c r="B249" s="13" t="s">
        <v>1388</v>
      </c>
      <c r="C249" s="36">
        <v>1</v>
      </c>
      <c r="D249" s="14">
        <v>115531.85</v>
      </c>
      <c r="E249" s="14">
        <v>0</v>
      </c>
    </row>
    <row r="250" spans="1:5" x14ac:dyDescent="0.3">
      <c r="A250" s="13" t="s">
        <v>51</v>
      </c>
      <c r="B250" s="13" t="s">
        <v>1389</v>
      </c>
      <c r="C250" s="36">
        <v>1</v>
      </c>
      <c r="D250" s="14">
        <v>113843.8</v>
      </c>
      <c r="E250" s="14">
        <v>0</v>
      </c>
    </row>
    <row r="251" spans="1:5" x14ac:dyDescent="0.3">
      <c r="A251" s="13" t="s">
        <v>51</v>
      </c>
      <c r="B251" s="13" t="s">
        <v>1390</v>
      </c>
      <c r="C251" s="36">
        <v>1</v>
      </c>
      <c r="D251" s="14">
        <v>110958.19</v>
      </c>
      <c r="E251" s="14">
        <v>0</v>
      </c>
    </row>
    <row r="252" spans="1:5" x14ac:dyDescent="0.3">
      <c r="A252" s="13" t="s">
        <v>51</v>
      </c>
      <c r="B252" s="13" t="s">
        <v>1391</v>
      </c>
      <c r="C252" s="36">
        <v>1</v>
      </c>
      <c r="D252" s="14">
        <v>109631.34</v>
      </c>
      <c r="E252" s="14">
        <v>0</v>
      </c>
    </row>
    <row r="253" spans="1:5" x14ac:dyDescent="0.3">
      <c r="A253" s="13" t="s">
        <v>51</v>
      </c>
      <c r="B253" s="13" t="s">
        <v>1392</v>
      </c>
      <c r="C253" s="36">
        <v>1</v>
      </c>
      <c r="D253" s="14">
        <v>104674.24000000001</v>
      </c>
      <c r="E253" s="14">
        <v>0</v>
      </c>
    </row>
    <row r="254" spans="1:5" x14ac:dyDescent="0.3">
      <c r="A254" s="13" t="s">
        <v>51</v>
      </c>
      <c r="B254" s="13" t="s">
        <v>1393</v>
      </c>
      <c r="C254" s="36">
        <v>1</v>
      </c>
      <c r="D254" s="14">
        <v>99627.86</v>
      </c>
      <c r="E254" s="14">
        <v>0</v>
      </c>
    </row>
    <row r="255" spans="1:5" x14ac:dyDescent="0.3">
      <c r="A255" s="13" t="s">
        <v>51</v>
      </c>
      <c r="B255" s="13" t="s">
        <v>1394</v>
      </c>
      <c r="C255" s="36">
        <v>1</v>
      </c>
      <c r="D255" s="14">
        <v>95216.62</v>
      </c>
      <c r="E255" s="14">
        <v>0</v>
      </c>
    </row>
    <row r="256" spans="1:5" x14ac:dyDescent="0.3">
      <c r="A256" s="13" t="s">
        <v>51</v>
      </c>
      <c r="B256" s="13" t="s">
        <v>1395</v>
      </c>
      <c r="C256" s="36">
        <v>1</v>
      </c>
      <c r="D256" s="14">
        <v>84000</v>
      </c>
      <c r="E256" s="14">
        <v>0</v>
      </c>
    </row>
    <row r="257" spans="1:5" x14ac:dyDescent="0.3">
      <c r="A257" s="13" t="s">
        <v>51</v>
      </c>
      <c r="B257" s="13" t="s">
        <v>1396</v>
      </c>
      <c r="C257" s="36">
        <v>1</v>
      </c>
      <c r="D257" s="14">
        <v>74322</v>
      </c>
      <c r="E257" s="14">
        <v>0</v>
      </c>
    </row>
    <row r="258" spans="1:5" x14ac:dyDescent="0.3">
      <c r="A258" s="13" t="s">
        <v>51</v>
      </c>
      <c r="B258" s="13" t="s">
        <v>1397</v>
      </c>
      <c r="C258" s="36">
        <v>1</v>
      </c>
      <c r="D258" s="14">
        <v>73708</v>
      </c>
      <c r="E258" s="14">
        <v>0</v>
      </c>
    </row>
    <row r="259" spans="1:5" x14ac:dyDescent="0.3">
      <c r="A259" s="13" t="s">
        <v>51</v>
      </c>
      <c r="B259" s="13" t="s">
        <v>1398</v>
      </c>
      <c r="C259" s="36">
        <v>1</v>
      </c>
      <c r="D259" s="14">
        <v>73708</v>
      </c>
      <c r="E259" s="14">
        <v>0</v>
      </c>
    </row>
    <row r="260" spans="1:5" x14ac:dyDescent="0.3">
      <c r="A260" s="13" t="s">
        <v>51</v>
      </c>
      <c r="B260" s="13" t="s">
        <v>1399</v>
      </c>
      <c r="C260" s="36">
        <v>1</v>
      </c>
      <c r="D260" s="14">
        <v>73094</v>
      </c>
      <c r="E260" s="14">
        <v>0</v>
      </c>
    </row>
    <row r="261" spans="1:5" x14ac:dyDescent="0.3">
      <c r="A261" s="13" t="s">
        <v>51</v>
      </c>
      <c r="B261" s="13" t="s">
        <v>1400</v>
      </c>
      <c r="C261" s="36">
        <v>1</v>
      </c>
      <c r="D261" s="14">
        <v>72894.69</v>
      </c>
      <c r="E261" s="14">
        <v>0</v>
      </c>
    </row>
    <row r="262" spans="1:5" x14ac:dyDescent="0.3">
      <c r="A262" s="13" t="s">
        <v>51</v>
      </c>
      <c r="B262" s="13" t="s">
        <v>1401</v>
      </c>
      <c r="C262" s="36">
        <v>1</v>
      </c>
      <c r="D262" s="14">
        <v>72600</v>
      </c>
      <c r="E262" s="14">
        <v>0</v>
      </c>
    </row>
    <row r="263" spans="1:5" x14ac:dyDescent="0.3">
      <c r="A263" s="13" t="s">
        <v>51</v>
      </c>
      <c r="B263" s="13" t="s">
        <v>1402</v>
      </c>
      <c r="C263" s="36">
        <v>1</v>
      </c>
      <c r="D263" s="14">
        <v>72480</v>
      </c>
      <c r="E263" s="14">
        <v>0</v>
      </c>
    </row>
    <row r="264" spans="1:5" x14ac:dyDescent="0.3">
      <c r="A264" s="13" t="s">
        <v>51</v>
      </c>
      <c r="B264" s="13" t="s">
        <v>1403</v>
      </c>
      <c r="C264" s="36">
        <v>1</v>
      </c>
      <c r="D264" s="14">
        <v>70637</v>
      </c>
      <c r="E264" s="14">
        <v>0</v>
      </c>
    </row>
    <row r="265" spans="1:5" x14ac:dyDescent="0.3">
      <c r="A265" s="13" t="s">
        <v>51</v>
      </c>
      <c r="B265" s="13" t="s">
        <v>1404</v>
      </c>
      <c r="C265" s="36">
        <v>1</v>
      </c>
      <c r="D265" s="14">
        <v>70500</v>
      </c>
      <c r="E265" s="14">
        <v>0</v>
      </c>
    </row>
    <row r="266" spans="1:5" x14ac:dyDescent="0.3">
      <c r="A266" s="13" t="s">
        <v>51</v>
      </c>
      <c r="B266" s="13" t="s">
        <v>1405</v>
      </c>
      <c r="C266" s="36">
        <v>1</v>
      </c>
      <c r="D266" s="14">
        <v>70023</v>
      </c>
      <c r="E266" s="14">
        <v>0</v>
      </c>
    </row>
    <row r="267" spans="1:5" x14ac:dyDescent="0.3">
      <c r="A267" s="13" t="s">
        <v>51</v>
      </c>
      <c r="B267" s="13" t="s">
        <v>1406</v>
      </c>
      <c r="C267" s="36">
        <v>1</v>
      </c>
      <c r="D267" s="14">
        <v>70023</v>
      </c>
      <c r="E267" s="14">
        <v>0</v>
      </c>
    </row>
    <row r="268" spans="1:5" x14ac:dyDescent="0.3">
      <c r="A268" s="13" t="s">
        <v>51</v>
      </c>
      <c r="B268" s="13" t="s">
        <v>1407</v>
      </c>
      <c r="C268" s="36">
        <v>1</v>
      </c>
      <c r="D268" s="14">
        <v>70023</v>
      </c>
      <c r="E268" s="14">
        <v>0</v>
      </c>
    </row>
    <row r="269" spans="1:5" x14ac:dyDescent="0.3">
      <c r="A269" s="13" t="s">
        <v>51</v>
      </c>
      <c r="B269" s="13" t="s">
        <v>1408</v>
      </c>
      <c r="C269" s="36">
        <v>1</v>
      </c>
      <c r="D269" s="14">
        <v>68180</v>
      </c>
      <c r="E269" s="14">
        <v>0</v>
      </c>
    </row>
    <row r="270" spans="1:5" x14ac:dyDescent="0.3">
      <c r="A270" s="13" t="s">
        <v>51</v>
      </c>
      <c r="B270" s="13" t="s">
        <v>1409</v>
      </c>
      <c r="C270" s="36">
        <v>1</v>
      </c>
      <c r="D270" s="14">
        <v>68180</v>
      </c>
      <c r="E270" s="14">
        <v>0</v>
      </c>
    </row>
    <row r="271" spans="1:5" x14ac:dyDescent="0.3">
      <c r="A271" s="13" t="s">
        <v>51</v>
      </c>
      <c r="B271" s="13" t="s">
        <v>1410</v>
      </c>
      <c r="C271" s="36">
        <v>1</v>
      </c>
      <c r="D271" s="14">
        <v>67566</v>
      </c>
      <c r="E271" s="14">
        <v>0</v>
      </c>
    </row>
    <row r="272" spans="1:5" x14ac:dyDescent="0.3">
      <c r="A272" s="13" t="s">
        <v>51</v>
      </c>
      <c r="B272" s="13" t="s">
        <v>1411</v>
      </c>
      <c r="C272" s="36">
        <v>1</v>
      </c>
      <c r="D272" s="14">
        <v>67157.399999999994</v>
      </c>
      <c r="E272" s="14">
        <v>0</v>
      </c>
    </row>
    <row r="273" spans="1:5" x14ac:dyDescent="0.3">
      <c r="A273" s="13" t="s">
        <v>51</v>
      </c>
      <c r="B273" s="13" t="s">
        <v>1412</v>
      </c>
      <c r="C273" s="36">
        <v>1</v>
      </c>
      <c r="D273" s="14">
        <v>66952</v>
      </c>
      <c r="E273" s="14">
        <v>0</v>
      </c>
    </row>
    <row r="274" spans="1:5" x14ac:dyDescent="0.3">
      <c r="A274" s="13" t="s">
        <v>51</v>
      </c>
      <c r="B274" s="13" t="s">
        <v>1413</v>
      </c>
      <c r="C274" s="36">
        <v>1</v>
      </c>
      <c r="D274" s="14">
        <v>65109</v>
      </c>
      <c r="E274" s="14">
        <v>0</v>
      </c>
    </row>
    <row r="275" spans="1:5" x14ac:dyDescent="0.3">
      <c r="A275" s="13" t="s">
        <v>51</v>
      </c>
      <c r="B275" s="13" t="s">
        <v>1414</v>
      </c>
      <c r="C275" s="36">
        <v>1</v>
      </c>
      <c r="D275" s="14">
        <v>63907.44</v>
      </c>
      <c r="E275" s="14">
        <v>0</v>
      </c>
    </row>
    <row r="276" spans="1:5" x14ac:dyDescent="0.3">
      <c r="A276" s="13" t="s">
        <v>51</v>
      </c>
      <c r="B276" s="13" t="s">
        <v>1415</v>
      </c>
      <c r="C276" s="36">
        <v>1</v>
      </c>
      <c r="D276" s="14">
        <v>63266</v>
      </c>
      <c r="E276" s="14">
        <v>0</v>
      </c>
    </row>
    <row r="277" spans="1:5" x14ac:dyDescent="0.3">
      <c r="A277" s="13" t="s">
        <v>51</v>
      </c>
      <c r="B277" s="13" t="s">
        <v>1416</v>
      </c>
      <c r="C277" s="36">
        <v>1</v>
      </c>
      <c r="D277" s="14">
        <v>63266</v>
      </c>
      <c r="E277" s="14">
        <v>0</v>
      </c>
    </row>
    <row r="278" spans="1:5" x14ac:dyDescent="0.3">
      <c r="A278" s="13" t="s">
        <v>51</v>
      </c>
      <c r="B278" s="13" t="s">
        <v>1417</v>
      </c>
      <c r="C278" s="36">
        <v>1</v>
      </c>
      <c r="D278" s="14">
        <v>63266</v>
      </c>
      <c r="E278" s="14">
        <v>0</v>
      </c>
    </row>
    <row r="279" spans="1:5" x14ac:dyDescent="0.3">
      <c r="A279" s="13" t="s">
        <v>51</v>
      </c>
      <c r="B279" s="13" t="s">
        <v>1418</v>
      </c>
      <c r="C279" s="36">
        <v>1</v>
      </c>
      <c r="D279" s="14">
        <v>62038</v>
      </c>
      <c r="E279" s="14">
        <v>0</v>
      </c>
    </row>
    <row r="280" spans="1:5" x14ac:dyDescent="0.3">
      <c r="A280" s="13" t="s">
        <v>51</v>
      </c>
      <c r="B280" s="13" t="s">
        <v>1419</v>
      </c>
      <c r="C280" s="36">
        <v>1</v>
      </c>
      <c r="D280" s="14">
        <v>62038</v>
      </c>
      <c r="E280" s="14">
        <v>0</v>
      </c>
    </row>
    <row r="281" spans="1:5" x14ac:dyDescent="0.3">
      <c r="A281" s="13" t="s">
        <v>51</v>
      </c>
      <c r="B281" s="13" t="s">
        <v>1420</v>
      </c>
      <c r="C281" s="36">
        <v>1</v>
      </c>
      <c r="D281" s="14">
        <v>62038</v>
      </c>
      <c r="E281" s="14">
        <v>0</v>
      </c>
    </row>
    <row r="282" spans="1:5" x14ac:dyDescent="0.3">
      <c r="A282" s="13" t="s">
        <v>51</v>
      </c>
      <c r="B282" s="13" t="s">
        <v>1421</v>
      </c>
      <c r="C282" s="36">
        <v>1</v>
      </c>
      <c r="D282" s="14">
        <v>61424</v>
      </c>
      <c r="E282" s="14">
        <v>0</v>
      </c>
    </row>
    <row r="283" spans="1:5" x14ac:dyDescent="0.3">
      <c r="A283" s="13" t="s">
        <v>51</v>
      </c>
      <c r="B283" s="13" t="s">
        <v>1422</v>
      </c>
      <c r="C283" s="36">
        <v>1</v>
      </c>
      <c r="D283" s="14">
        <v>60376.45</v>
      </c>
      <c r="E283" s="14">
        <v>0</v>
      </c>
    </row>
    <row r="284" spans="1:5" x14ac:dyDescent="0.3">
      <c r="A284" s="13" t="s">
        <v>51</v>
      </c>
      <c r="B284" s="13" t="s">
        <v>1423</v>
      </c>
      <c r="C284" s="36">
        <v>1</v>
      </c>
      <c r="D284" s="14">
        <v>52889.1</v>
      </c>
      <c r="E284" s="14">
        <v>0</v>
      </c>
    </row>
    <row r="285" spans="1:5" x14ac:dyDescent="0.3">
      <c r="A285" s="13" t="s">
        <v>51</v>
      </c>
      <c r="B285" s="13" t="s">
        <v>1424</v>
      </c>
      <c r="C285" s="36">
        <v>1</v>
      </c>
      <c r="D285" s="14">
        <v>49965.71</v>
      </c>
      <c r="E285" s="14">
        <v>0</v>
      </c>
    </row>
    <row r="286" spans="1:5" x14ac:dyDescent="0.3">
      <c r="A286" s="13" t="s">
        <v>51</v>
      </c>
      <c r="B286" s="13" t="s">
        <v>1425</v>
      </c>
      <c r="C286" s="36">
        <v>1</v>
      </c>
      <c r="D286" s="14">
        <v>47296</v>
      </c>
      <c r="E286" s="14">
        <v>0</v>
      </c>
    </row>
    <row r="287" spans="1:5" x14ac:dyDescent="0.3">
      <c r="A287" s="13" t="s">
        <v>51</v>
      </c>
      <c r="B287" s="13" t="s">
        <v>1426</v>
      </c>
      <c r="C287" s="36">
        <v>1</v>
      </c>
      <c r="D287" s="14">
        <v>39649.050000000003</v>
      </c>
      <c r="E287" s="14">
        <v>0</v>
      </c>
    </row>
    <row r="288" spans="1:5" x14ac:dyDescent="0.3">
      <c r="A288" s="13" t="s">
        <v>51</v>
      </c>
      <c r="B288" s="13" t="s">
        <v>1427</v>
      </c>
      <c r="C288" s="36">
        <v>1</v>
      </c>
      <c r="D288" s="14">
        <v>30594.97</v>
      </c>
      <c r="E288" s="14">
        <v>0</v>
      </c>
    </row>
    <row r="289" spans="1:5" x14ac:dyDescent="0.3">
      <c r="A289" s="13" t="s">
        <v>51</v>
      </c>
      <c r="B289" s="13" t="s">
        <v>1428</v>
      </c>
      <c r="C289" s="36">
        <v>1</v>
      </c>
      <c r="D289" s="14">
        <v>28484.75</v>
      </c>
      <c r="E289" s="14">
        <v>0</v>
      </c>
    </row>
    <row r="290" spans="1:5" x14ac:dyDescent="0.3">
      <c r="A290" s="13" t="s">
        <v>51</v>
      </c>
      <c r="B290" s="13" t="s">
        <v>1429</v>
      </c>
      <c r="C290" s="36">
        <v>1</v>
      </c>
      <c r="D290" s="14">
        <v>27818.639999999999</v>
      </c>
      <c r="E290" s="14">
        <v>0</v>
      </c>
    </row>
    <row r="291" spans="1:5" x14ac:dyDescent="0.3">
      <c r="A291" s="13" t="s">
        <v>51</v>
      </c>
      <c r="B291" s="13" t="s">
        <v>1430</v>
      </c>
      <c r="C291" s="36">
        <v>1</v>
      </c>
      <c r="D291" s="14">
        <v>25000</v>
      </c>
      <c r="E291" s="14">
        <v>0</v>
      </c>
    </row>
    <row r="292" spans="1:5" x14ac:dyDescent="0.3">
      <c r="A292" s="13" t="s">
        <v>51</v>
      </c>
      <c r="B292" s="13" t="s">
        <v>1431</v>
      </c>
      <c r="C292" s="36">
        <v>1</v>
      </c>
      <c r="D292" s="14">
        <v>20269.8</v>
      </c>
      <c r="E292" s="14">
        <v>0</v>
      </c>
    </row>
    <row r="293" spans="1:5" x14ac:dyDescent="0.3">
      <c r="A293" s="13" t="s">
        <v>51</v>
      </c>
      <c r="B293" s="13" t="s">
        <v>1432</v>
      </c>
      <c r="C293" s="36">
        <v>1</v>
      </c>
      <c r="D293" s="14">
        <v>18427</v>
      </c>
      <c r="E293" s="14">
        <v>0</v>
      </c>
    </row>
    <row r="294" spans="1:5" x14ac:dyDescent="0.3">
      <c r="A294" s="13" t="s">
        <v>51</v>
      </c>
      <c r="B294" s="13" t="s">
        <v>1433</v>
      </c>
      <c r="C294" s="36">
        <v>1</v>
      </c>
      <c r="D294" s="14">
        <v>18326</v>
      </c>
      <c r="E294" s="14">
        <v>0</v>
      </c>
    </row>
    <row r="295" spans="1:5" x14ac:dyDescent="0.3">
      <c r="A295" s="13" t="s">
        <v>51</v>
      </c>
      <c r="B295" s="13" t="s">
        <v>1434</v>
      </c>
      <c r="C295" s="36">
        <v>1</v>
      </c>
      <c r="D295" s="14">
        <v>18086.63</v>
      </c>
      <c r="E295" s="14">
        <v>0</v>
      </c>
    </row>
    <row r="296" spans="1:5" x14ac:dyDescent="0.3">
      <c r="A296" s="13" t="s">
        <v>51</v>
      </c>
      <c r="B296" s="13" t="s">
        <v>1435</v>
      </c>
      <c r="C296" s="36">
        <v>1</v>
      </c>
      <c r="D296" s="14">
        <v>13737.76</v>
      </c>
      <c r="E296" s="14">
        <v>0</v>
      </c>
    </row>
    <row r="297" spans="1:5" x14ac:dyDescent="0.3">
      <c r="A297" s="13" t="s">
        <v>51</v>
      </c>
      <c r="B297" s="13" t="s">
        <v>1436</v>
      </c>
      <c r="C297" s="36">
        <v>1</v>
      </c>
      <c r="D297" s="14">
        <v>106.13</v>
      </c>
      <c r="E297" s="14">
        <v>0</v>
      </c>
    </row>
    <row r="298" spans="1:5" x14ac:dyDescent="0.3">
      <c r="A298" s="13" t="s">
        <v>51</v>
      </c>
      <c r="B298" s="13" t="s">
        <v>1437</v>
      </c>
      <c r="C298" s="36">
        <v>1</v>
      </c>
      <c r="D298" s="14">
        <v>0</v>
      </c>
      <c r="E298" s="14">
        <v>220378.89</v>
      </c>
    </row>
    <row r="299" spans="1:5" x14ac:dyDescent="0.3">
      <c r="A299" s="13" t="s">
        <v>51</v>
      </c>
      <c r="B299" s="13" t="s">
        <v>1438</v>
      </c>
      <c r="C299" s="36">
        <v>1</v>
      </c>
      <c r="D299" s="14">
        <v>0</v>
      </c>
      <c r="E299" s="14">
        <v>17956.09</v>
      </c>
    </row>
    <row r="300" spans="1:5" x14ac:dyDescent="0.3">
      <c r="A300" s="13" t="s">
        <v>51</v>
      </c>
      <c r="B300" s="13" t="s">
        <v>1439</v>
      </c>
      <c r="C300" s="36">
        <v>1</v>
      </c>
      <c r="D300" s="14">
        <v>0</v>
      </c>
      <c r="E300" s="14">
        <v>1500000</v>
      </c>
    </row>
    <row r="301" spans="1:5" x14ac:dyDescent="0.3">
      <c r="A301" s="13" t="s">
        <v>51</v>
      </c>
      <c r="B301" s="13" t="s">
        <v>1440</v>
      </c>
      <c r="C301" s="36">
        <v>1</v>
      </c>
      <c r="D301" s="14">
        <v>0</v>
      </c>
      <c r="E301" s="14">
        <v>1065256</v>
      </c>
    </row>
    <row r="302" spans="1:5" x14ac:dyDescent="0.3">
      <c r="A302" s="13" t="s">
        <v>51</v>
      </c>
      <c r="B302" s="13" t="s">
        <v>1441</v>
      </c>
      <c r="C302" s="36">
        <v>1</v>
      </c>
      <c r="D302" s="14">
        <v>0</v>
      </c>
      <c r="E302" s="14">
        <v>140722</v>
      </c>
    </row>
    <row r="303" spans="1:5" x14ac:dyDescent="0.3">
      <c r="A303" s="13" t="s">
        <v>51</v>
      </c>
      <c r="B303" s="13" t="s">
        <v>1442</v>
      </c>
      <c r="C303" s="36">
        <v>1</v>
      </c>
      <c r="D303" s="14">
        <v>0</v>
      </c>
      <c r="E303" s="14">
        <v>155788.20000000001</v>
      </c>
    </row>
    <row r="304" spans="1:5" x14ac:dyDescent="0.3">
      <c r="A304" s="13" t="s">
        <v>51</v>
      </c>
      <c r="B304" s="13" t="s">
        <v>1443</v>
      </c>
      <c r="C304" s="36">
        <v>1</v>
      </c>
      <c r="D304" s="14">
        <v>0</v>
      </c>
      <c r="E304" s="14">
        <v>1500000</v>
      </c>
    </row>
    <row r="305" spans="1:5" x14ac:dyDescent="0.3">
      <c r="A305" s="13" t="s">
        <v>51</v>
      </c>
      <c r="B305" s="13" t="s">
        <v>1444</v>
      </c>
      <c r="C305" s="36">
        <v>1</v>
      </c>
      <c r="D305" s="14">
        <v>0</v>
      </c>
      <c r="E305" s="14">
        <v>3500000</v>
      </c>
    </row>
    <row r="306" spans="1:5" x14ac:dyDescent="0.3">
      <c r="A306" s="13" t="s">
        <v>51</v>
      </c>
      <c r="B306" s="13" t="s">
        <v>1445</v>
      </c>
      <c r="C306" s="36">
        <v>4</v>
      </c>
      <c r="D306" s="14">
        <v>0</v>
      </c>
      <c r="E306" s="14">
        <v>5506403.7799999993</v>
      </c>
    </row>
    <row r="307" spans="1:5" x14ac:dyDescent="0.3">
      <c r="A307" s="13" t="s">
        <v>51</v>
      </c>
      <c r="B307" s="13" t="s">
        <v>1446</v>
      </c>
      <c r="C307" s="36">
        <v>8</v>
      </c>
      <c r="D307" s="14">
        <v>0</v>
      </c>
      <c r="E307" s="14">
        <v>14135238.93</v>
      </c>
    </row>
    <row r="308" spans="1:5" x14ac:dyDescent="0.3">
      <c r="A308" s="13" t="s">
        <v>51</v>
      </c>
      <c r="B308" s="13" t="s">
        <v>1447</v>
      </c>
      <c r="C308" s="36">
        <v>6</v>
      </c>
      <c r="D308" s="14">
        <v>0</v>
      </c>
      <c r="E308" s="14">
        <v>14890752.939999999</v>
      </c>
    </row>
    <row r="309" spans="1:5" x14ac:dyDescent="0.3">
      <c r="A309" s="13" t="s">
        <v>51</v>
      </c>
      <c r="B309" s="13" t="s">
        <v>1448</v>
      </c>
      <c r="C309" s="36">
        <v>1</v>
      </c>
      <c r="D309" s="14">
        <v>0</v>
      </c>
      <c r="E309" s="14">
        <v>177280.27</v>
      </c>
    </row>
    <row r="310" spans="1:5" x14ac:dyDescent="0.3">
      <c r="A310" s="13" t="s">
        <v>51</v>
      </c>
      <c r="B310" s="13" t="s">
        <v>1449</v>
      </c>
      <c r="C310" s="36">
        <v>1</v>
      </c>
      <c r="D310" s="14">
        <v>0</v>
      </c>
      <c r="E310" s="14">
        <v>5078567.09</v>
      </c>
    </row>
    <row r="311" spans="1:5" x14ac:dyDescent="0.3">
      <c r="A311" s="13" t="s">
        <v>51</v>
      </c>
      <c r="B311" s="13" t="s">
        <v>1450</v>
      </c>
      <c r="C311" s="36">
        <v>1</v>
      </c>
      <c r="D311" s="14">
        <v>0</v>
      </c>
      <c r="E311" s="14">
        <v>41771.35</v>
      </c>
    </row>
    <row r="312" spans="1:5" x14ac:dyDescent="0.3">
      <c r="A312" s="13" t="s">
        <v>51</v>
      </c>
      <c r="B312" s="13" t="s">
        <v>1451</v>
      </c>
      <c r="C312" s="36">
        <v>1</v>
      </c>
      <c r="D312" s="14">
        <v>0</v>
      </c>
      <c r="E312" s="14">
        <v>66691.62</v>
      </c>
    </row>
    <row r="313" spans="1:5" x14ac:dyDescent="0.3">
      <c r="A313" s="13" t="s">
        <v>51</v>
      </c>
      <c r="B313" s="13" t="s">
        <v>1452</v>
      </c>
      <c r="C313" s="36">
        <v>1</v>
      </c>
      <c r="D313" s="14">
        <v>0</v>
      </c>
      <c r="E313" s="14">
        <v>376285.8</v>
      </c>
    </row>
    <row r="314" spans="1:5" x14ac:dyDescent="0.3">
      <c r="A314" s="13" t="s">
        <v>51</v>
      </c>
      <c r="B314" s="13" t="s">
        <v>1453</v>
      </c>
      <c r="C314" s="36">
        <v>1</v>
      </c>
      <c r="D314" s="14">
        <v>0</v>
      </c>
      <c r="E314" s="14">
        <v>111289.75</v>
      </c>
    </row>
    <row r="315" spans="1:5" x14ac:dyDescent="0.3">
      <c r="A315" s="13" t="s">
        <v>51</v>
      </c>
      <c r="B315" s="13" t="s">
        <v>1454</v>
      </c>
      <c r="C315" s="36">
        <v>1</v>
      </c>
      <c r="D315" s="14">
        <v>0</v>
      </c>
      <c r="E315" s="14">
        <v>698727.85</v>
      </c>
    </row>
    <row r="316" spans="1:5" x14ac:dyDescent="0.3">
      <c r="A316" s="13" t="s">
        <v>51</v>
      </c>
      <c r="B316" s="13" t="s">
        <v>1455</v>
      </c>
      <c r="C316" s="36">
        <v>1</v>
      </c>
      <c r="D316" s="14">
        <v>0</v>
      </c>
      <c r="E316" s="14">
        <v>41895</v>
      </c>
    </row>
    <row r="317" spans="1:5" x14ac:dyDescent="0.3">
      <c r="A317" s="13" t="s">
        <v>51</v>
      </c>
      <c r="B317" s="13" t="s">
        <v>1456</v>
      </c>
      <c r="C317" s="36">
        <v>1</v>
      </c>
      <c r="D317" s="14">
        <v>0</v>
      </c>
      <c r="E317" s="14">
        <v>1800000</v>
      </c>
    </row>
    <row r="318" spans="1:5" x14ac:dyDescent="0.3">
      <c r="A318" s="13" t="s">
        <v>51</v>
      </c>
      <c r="B318" s="13" t="s">
        <v>1457</v>
      </c>
      <c r="C318" s="36">
        <v>1</v>
      </c>
      <c r="D318" s="14">
        <v>0</v>
      </c>
      <c r="E318" s="14">
        <v>1676255.37</v>
      </c>
    </row>
    <row r="319" spans="1:5" x14ac:dyDescent="0.3">
      <c r="A319" s="13" t="s">
        <v>51</v>
      </c>
      <c r="B319" s="13" t="s">
        <v>1458</v>
      </c>
      <c r="C319" s="36">
        <v>1</v>
      </c>
      <c r="D319" s="14">
        <v>0</v>
      </c>
      <c r="E319" s="14">
        <v>93757.34</v>
      </c>
    </row>
    <row r="320" spans="1:5" x14ac:dyDescent="0.3">
      <c r="A320" s="13" t="s">
        <v>51</v>
      </c>
      <c r="B320" s="13" t="s">
        <v>1459</v>
      </c>
      <c r="C320" s="36">
        <v>1</v>
      </c>
      <c r="D320" s="14">
        <v>0</v>
      </c>
      <c r="E320" s="14">
        <v>149075.54999999999</v>
      </c>
    </row>
    <row r="321" spans="1:5" x14ac:dyDescent="0.3">
      <c r="A321" s="13" t="s">
        <v>51</v>
      </c>
      <c r="B321" s="13" t="s">
        <v>1460</v>
      </c>
      <c r="C321" s="36">
        <v>1</v>
      </c>
      <c r="D321" s="14">
        <v>0</v>
      </c>
      <c r="E321" s="14">
        <v>43392</v>
      </c>
    </row>
    <row r="322" spans="1:5" x14ac:dyDescent="0.3">
      <c r="A322" s="13" t="s">
        <v>51</v>
      </c>
      <c r="B322" s="13" t="s">
        <v>1461</v>
      </c>
      <c r="C322" s="36">
        <v>1</v>
      </c>
      <c r="D322" s="14">
        <v>0</v>
      </c>
      <c r="E322" s="14">
        <v>21971.77</v>
      </c>
    </row>
    <row r="323" spans="1:5" x14ac:dyDescent="0.3">
      <c r="A323" s="13" t="s">
        <v>51</v>
      </c>
      <c r="B323" s="13" t="s">
        <v>1462</v>
      </c>
      <c r="C323" s="36">
        <v>1</v>
      </c>
      <c r="D323" s="14">
        <v>0</v>
      </c>
      <c r="E323" s="14">
        <v>23590.97</v>
      </c>
    </row>
    <row r="324" spans="1:5" x14ac:dyDescent="0.3">
      <c r="A324" s="13" t="s">
        <v>51</v>
      </c>
      <c r="B324" s="13" t="s">
        <v>1463</v>
      </c>
      <c r="C324" s="36">
        <v>1</v>
      </c>
      <c r="D324" s="14">
        <v>0</v>
      </c>
      <c r="E324" s="14">
        <v>113286.66</v>
      </c>
    </row>
    <row r="325" spans="1:5" x14ac:dyDescent="0.3">
      <c r="A325" s="13" t="s">
        <v>51</v>
      </c>
      <c r="B325" s="13" t="s">
        <v>1464</v>
      </c>
      <c r="C325" s="36">
        <v>1</v>
      </c>
      <c r="D325" s="14">
        <v>0</v>
      </c>
      <c r="E325" s="14">
        <v>44232</v>
      </c>
    </row>
    <row r="326" spans="1:5" x14ac:dyDescent="0.3">
      <c r="A326" s="13" t="s">
        <v>51</v>
      </c>
      <c r="B326" s="13" t="s">
        <v>1465</v>
      </c>
      <c r="C326" s="36">
        <v>1</v>
      </c>
      <c r="D326" s="14">
        <v>0</v>
      </c>
      <c r="E326" s="14">
        <v>621363.6</v>
      </c>
    </row>
    <row r="327" spans="1:5" x14ac:dyDescent="0.3">
      <c r="A327" s="13" t="s">
        <v>51</v>
      </c>
      <c r="B327" s="13" t="s">
        <v>1466</v>
      </c>
      <c r="C327" s="36">
        <v>1</v>
      </c>
      <c r="D327" s="14">
        <v>0</v>
      </c>
      <c r="E327" s="14">
        <v>1000000</v>
      </c>
    </row>
    <row r="328" spans="1:5" x14ac:dyDescent="0.3">
      <c r="A328" s="13" t="s">
        <v>51</v>
      </c>
      <c r="B328" s="13" t="s">
        <v>1467</v>
      </c>
      <c r="C328" s="36">
        <v>1</v>
      </c>
      <c r="D328" s="14">
        <v>0</v>
      </c>
      <c r="E328" s="14">
        <v>1593833.47</v>
      </c>
    </row>
    <row r="329" spans="1:5" x14ac:dyDescent="0.3">
      <c r="A329" s="13" t="s">
        <v>51</v>
      </c>
      <c r="B329" s="13" t="s">
        <v>1468</v>
      </c>
      <c r="C329" s="36">
        <v>1</v>
      </c>
      <c r="D329" s="14">
        <v>0</v>
      </c>
      <c r="E329" s="14">
        <v>2085341</v>
      </c>
    </row>
    <row r="330" spans="1:5" x14ac:dyDescent="0.3">
      <c r="A330" s="13" t="s">
        <v>51</v>
      </c>
      <c r="B330" s="13" t="s">
        <v>1469</v>
      </c>
      <c r="C330" s="36">
        <v>1</v>
      </c>
      <c r="D330" s="14">
        <v>0</v>
      </c>
      <c r="E330" s="14">
        <v>4968.9399999999996</v>
      </c>
    </row>
    <row r="331" spans="1:5" x14ac:dyDescent="0.3">
      <c r="A331" s="13" t="s">
        <v>51</v>
      </c>
      <c r="B331" s="13" t="s">
        <v>1470</v>
      </c>
      <c r="C331" s="36">
        <v>1</v>
      </c>
      <c r="D331" s="14">
        <v>0</v>
      </c>
      <c r="E331" s="14">
        <v>6000000</v>
      </c>
    </row>
    <row r="332" spans="1:5" x14ac:dyDescent="0.3">
      <c r="A332" s="13" t="s">
        <v>51</v>
      </c>
      <c r="B332" s="13" t="s">
        <v>1471</v>
      </c>
      <c r="C332" s="36">
        <v>1</v>
      </c>
      <c r="D332" s="14">
        <v>0</v>
      </c>
      <c r="E332" s="14">
        <v>29445.21</v>
      </c>
    </row>
    <row r="333" spans="1:5" x14ac:dyDescent="0.3">
      <c r="A333" s="13" t="s">
        <v>51</v>
      </c>
      <c r="B333" s="13" t="s">
        <v>1472</v>
      </c>
      <c r="C333" s="36">
        <v>1</v>
      </c>
      <c r="D333" s="14">
        <v>0</v>
      </c>
      <c r="E333" s="14">
        <v>65385.599999999999</v>
      </c>
    </row>
    <row r="334" spans="1:5" x14ac:dyDescent="0.3">
      <c r="A334" s="13" t="s">
        <v>51</v>
      </c>
      <c r="B334" s="13" t="s">
        <v>1473</v>
      </c>
      <c r="C334" s="36">
        <v>1</v>
      </c>
      <c r="D334" s="14">
        <v>0</v>
      </c>
      <c r="E334" s="14">
        <v>692835</v>
      </c>
    </row>
    <row r="335" spans="1:5" x14ac:dyDescent="0.3">
      <c r="A335" s="13" t="s">
        <v>51</v>
      </c>
      <c r="B335" s="13" t="s">
        <v>1474</v>
      </c>
      <c r="C335" s="36">
        <v>1</v>
      </c>
      <c r="D335" s="14">
        <v>0</v>
      </c>
      <c r="E335" s="14">
        <v>130791.44</v>
      </c>
    </row>
    <row r="336" spans="1:5" x14ac:dyDescent="0.3">
      <c r="A336" s="13" t="s">
        <v>51</v>
      </c>
      <c r="B336" s="13" t="s">
        <v>1475</v>
      </c>
      <c r="C336" s="36">
        <v>1</v>
      </c>
      <c r="D336" s="14">
        <v>0</v>
      </c>
      <c r="E336" s="14">
        <v>14984.42</v>
      </c>
    </row>
    <row r="337" spans="1:5" x14ac:dyDescent="0.3">
      <c r="A337" s="13" t="s">
        <v>51</v>
      </c>
      <c r="B337" s="13" t="s">
        <v>1476</v>
      </c>
      <c r="C337" s="36">
        <v>1</v>
      </c>
      <c r="D337" s="14">
        <v>0</v>
      </c>
      <c r="E337" s="14">
        <v>17535.62</v>
      </c>
    </row>
    <row r="338" spans="1:5" x14ac:dyDescent="0.3">
      <c r="A338" s="13" t="s">
        <v>51</v>
      </c>
      <c r="B338" s="13" t="s">
        <v>1477</v>
      </c>
      <c r="C338" s="36">
        <v>1</v>
      </c>
      <c r="D338" s="14">
        <v>0</v>
      </c>
      <c r="E338" s="14">
        <v>686920.15</v>
      </c>
    </row>
    <row r="339" spans="1:5" x14ac:dyDescent="0.3">
      <c r="A339" s="13" t="s">
        <v>51</v>
      </c>
      <c r="B339" s="13" t="s">
        <v>1478</v>
      </c>
      <c r="C339" s="36">
        <v>1</v>
      </c>
      <c r="D339" s="14">
        <v>0</v>
      </c>
      <c r="E339" s="14">
        <v>33984.639999999999</v>
      </c>
    </row>
    <row r="340" spans="1:5" x14ac:dyDescent="0.3">
      <c r="A340" s="13" t="s">
        <v>51</v>
      </c>
      <c r="B340" s="13" t="s">
        <v>1479</v>
      </c>
      <c r="C340" s="36">
        <v>1</v>
      </c>
      <c r="D340" s="14">
        <v>0</v>
      </c>
      <c r="E340" s="14">
        <v>11188.66</v>
      </c>
    </row>
    <row r="341" spans="1:5" x14ac:dyDescent="0.3">
      <c r="A341" s="13" t="s">
        <v>51</v>
      </c>
      <c r="B341" s="13" t="s">
        <v>1480</v>
      </c>
      <c r="C341" s="36">
        <v>1</v>
      </c>
      <c r="D341" s="14">
        <v>0</v>
      </c>
      <c r="E341" s="14">
        <v>3170890.8</v>
      </c>
    </row>
    <row r="342" spans="1:5" x14ac:dyDescent="0.3">
      <c r="A342" s="13" t="s">
        <v>51</v>
      </c>
      <c r="B342" s="13" t="s">
        <v>1481</v>
      </c>
      <c r="C342" s="36">
        <v>1</v>
      </c>
      <c r="D342" s="14">
        <v>0</v>
      </c>
      <c r="E342" s="14">
        <v>12069.75</v>
      </c>
    </row>
    <row r="343" spans="1:5" x14ac:dyDescent="0.3">
      <c r="A343" s="13" t="s">
        <v>51</v>
      </c>
      <c r="B343" s="13" t="s">
        <v>1482</v>
      </c>
      <c r="C343" s="36">
        <v>1</v>
      </c>
      <c r="D343" s="14">
        <v>0</v>
      </c>
      <c r="E343" s="14">
        <v>28606.25</v>
      </c>
    </row>
    <row r="344" spans="1:5" x14ac:dyDescent="0.3">
      <c r="A344" s="13" t="s">
        <v>51</v>
      </c>
      <c r="B344" s="13" t="s">
        <v>1483</v>
      </c>
      <c r="C344" s="36">
        <v>1</v>
      </c>
      <c r="D344" s="14">
        <v>0</v>
      </c>
      <c r="E344" s="14">
        <v>26218.89</v>
      </c>
    </row>
    <row r="345" spans="1:5" x14ac:dyDescent="0.3">
      <c r="A345" s="13" t="s">
        <v>51</v>
      </c>
      <c r="B345" s="13" t="s">
        <v>1484</v>
      </c>
      <c r="C345" s="36">
        <v>1</v>
      </c>
      <c r="D345" s="14">
        <v>0</v>
      </c>
      <c r="E345" s="14">
        <v>15080</v>
      </c>
    </row>
    <row r="346" spans="1:5" x14ac:dyDescent="0.3">
      <c r="A346" s="13" t="s">
        <v>51</v>
      </c>
      <c r="B346" s="13" t="s">
        <v>1485</v>
      </c>
      <c r="C346" s="36">
        <v>1</v>
      </c>
      <c r="D346" s="14">
        <v>0</v>
      </c>
      <c r="E346" s="14">
        <v>2051329.44</v>
      </c>
    </row>
    <row r="347" spans="1:5" x14ac:dyDescent="0.3">
      <c r="A347" s="13" t="s">
        <v>51</v>
      </c>
      <c r="B347" s="13" t="s">
        <v>1486</v>
      </c>
      <c r="C347" s="36">
        <v>1</v>
      </c>
      <c r="D347" s="14">
        <v>0</v>
      </c>
      <c r="E347" s="14">
        <v>11110.9</v>
      </c>
    </row>
    <row r="348" spans="1:5" x14ac:dyDescent="0.3">
      <c r="A348" s="13" t="s">
        <v>51</v>
      </c>
      <c r="B348" s="13" t="s">
        <v>1487</v>
      </c>
      <c r="C348" s="36">
        <v>1</v>
      </c>
      <c r="D348" s="14">
        <v>0</v>
      </c>
      <c r="E348" s="14">
        <v>9257.52</v>
      </c>
    </row>
    <row r="349" spans="1:5" x14ac:dyDescent="0.3">
      <c r="A349" s="13" t="s">
        <v>51</v>
      </c>
      <c r="B349" s="13" t="s">
        <v>1488</v>
      </c>
      <c r="C349" s="36">
        <v>1</v>
      </c>
      <c r="D349" s="14">
        <v>0</v>
      </c>
      <c r="E349" s="14">
        <v>709282.98</v>
      </c>
    </row>
    <row r="350" spans="1:5" x14ac:dyDescent="0.3">
      <c r="A350" s="13" t="s">
        <v>51</v>
      </c>
      <c r="B350" s="13" t="s">
        <v>1489</v>
      </c>
      <c r="C350" s="36">
        <v>1</v>
      </c>
      <c r="D350" s="14">
        <v>0</v>
      </c>
      <c r="E350" s="14">
        <v>119664.46</v>
      </c>
    </row>
    <row r="351" spans="1:5" x14ac:dyDescent="0.3">
      <c r="A351" s="13" t="s">
        <v>51</v>
      </c>
      <c r="B351" s="13" t="s">
        <v>1490</v>
      </c>
      <c r="C351" s="36">
        <v>1</v>
      </c>
      <c r="D351" s="14">
        <v>0</v>
      </c>
      <c r="E351" s="14">
        <v>383868.6</v>
      </c>
    </row>
    <row r="352" spans="1:5" x14ac:dyDescent="0.3">
      <c r="A352" s="13" t="s">
        <v>51</v>
      </c>
      <c r="B352" s="13" t="s">
        <v>1491</v>
      </c>
      <c r="C352" s="36">
        <v>1</v>
      </c>
      <c r="D352" s="14">
        <v>0</v>
      </c>
      <c r="E352" s="14">
        <v>4203.18</v>
      </c>
    </row>
    <row r="353" spans="1:5" x14ac:dyDescent="0.3">
      <c r="A353" s="13" t="s">
        <v>51</v>
      </c>
      <c r="B353" s="13" t="s">
        <v>1492</v>
      </c>
      <c r="C353" s="36">
        <v>1</v>
      </c>
      <c r="D353" s="14">
        <v>0</v>
      </c>
      <c r="E353" s="14">
        <v>1221564</v>
      </c>
    </row>
    <row r="354" spans="1:5" x14ac:dyDescent="0.3">
      <c r="A354" s="13" t="s">
        <v>51</v>
      </c>
      <c r="B354" s="13" t="s">
        <v>1493</v>
      </c>
      <c r="C354" s="36">
        <v>1</v>
      </c>
      <c r="D354" s="14">
        <v>0</v>
      </c>
      <c r="E354" s="14">
        <v>276530.8</v>
      </c>
    </row>
    <row r="355" spans="1:5" x14ac:dyDescent="0.3">
      <c r="A355" s="13" t="s">
        <v>51</v>
      </c>
      <c r="B355" s="13" t="s">
        <v>1494</v>
      </c>
      <c r="C355" s="36">
        <v>1</v>
      </c>
      <c r="D355" s="14">
        <v>0</v>
      </c>
      <c r="E355" s="14">
        <v>7417</v>
      </c>
    </row>
    <row r="356" spans="1:5" x14ac:dyDescent="0.3">
      <c r="A356" s="13" t="s">
        <v>51</v>
      </c>
      <c r="B356" s="13" t="s">
        <v>1495</v>
      </c>
      <c r="C356" s="36">
        <v>1</v>
      </c>
      <c r="D356" s="14">
        <v>0</v>
      </c>
      <c r="E356" s="14">
        <v>20030.88</v>
      </c>
    </row>
    <row r="357" spans="1:5" x14ac:dyDescent="0.3">
      <c r="A357" s="13" t="s">
        <v>51</v>
      </c>
      <c r="B357" s="13" t="s">
        <v>1496</v>
      </c>
      <c r="C357" s="36">
        <v>1</v>
      </c>
      <c r="D357" s="14">
        <v>0</v>
      </c>
      <c r="E357" s="14">
        <v>23500000</v>
      </c>
    </row>
    <row r="358" spans="1:5" x14ac:dyDescent="0.3">
      <c r="A358" s="13" t="s">
        <v>51</v>
      </c>
      <c r="B358" s="13" t="s">
        <v>1497</v>
      </c>
      <c r="C358" s="36">
        <v>1</v>
      </c>
      <c r="D358" s="14">
        <v>0</v>
      </c>
      <c r="E358" s="14">
        <v>590000</v>
      </c>
    </row>
    <row r="359" spans="1:5" x14ac:dyDescent="0.3">
      <c r="A359" s="13" t="s">
        <v>51</v>
      </c>
      <c r="B359" s="13" t="s">
        <v>1498</v>
      </c>
      <c r="C359" s="36">
        <v>1</v>
      </c>
      <c r="D359" s="14">
        <v>0</v>
      </c>
      <c r="E359" s="14">
        <v>58802.63</v>
      </c>
    </row>
    <row r="360" spans="1:5" x14ac:dyDescent="0.3">
      <c r="A360" s="13" t="s">
        <v>51</v>
      </c>
      <c r="B360" s="13" t="s">
        <v>1499</v>
      </c>
      <c r="C360" s="36">
        <v>1</v>
      </c>
      <c r="D360" s="14">
        <v>0</v>
      </c>
      <c r="E360" s="14">
        <v>1024647.4</v>
      </c>
    </row>
    <row r="361" spans="1:5" x14ac:dyDescent="0.3">
      <c r="A361" s="13" t="s">
        <v>51</v>
      </c>
      <c r="B361" s="13" t="s">
        <v>1500</v>
      </c>
      <c r="C361" s="36">
        <v>1</v>
      </c>
      <c r="D361" s="14">
        <v>0</v>
      </c>
      <c r="E361" s="14">
        <v>253589.73</v>
      </c>
    </row>
    <row r="362" spans="1:5" x14ac:dyDescent="0.3">
      <c r="A362" s="13" t="s">
        <v>51</v>
      </c>
      <c r="B362" s="13" t="s">
        <v>1501</v>
      </c>
      <c r="C362" s="36">
        <v>1</v>
      </c>
      <c r="D362" s="14">
        <v>0</v>
      </c>
      <c r="E362" s="14">
        <v>236436.76</v>
      </c>
    </row>
    <row r="363" spans="1:5" x14ac:dyDescent="0.3">
      <c r="A363" s="13" t="s">
        <v>51</v>
      </c>
      <c r="B363" s="13" t="s">
        <v>1502</v>
      </c>
      <c r="C363" s="36">
        <v>1</v>
      </c>
      <c r="D363" s="14">
        <v>0</v>
      </c>
      <c r="E363" s="14">
        <v>929482.2</v>
      </c>
    </row>
    <row r="364" spans="1:5" x14ac:dyDescent="0.3">
      <c r="A364" s="13" t="s">
        <v>51</v>
      </c>
      <c r="B364" s="13" t="s">
        <v>1503</v>
      </c>
      <c r="C364" s="36">
        <v>1</v>
      </c>
      <c r="D364" s="14">
        <v>0</v>
      </c>
      <c r="E364" s="14">
        <v>100000000</v>
      </c>
    </row>
    <row r="365" spans="1:5" x14ac:dyDescent="0.3">
      <c r="A365" s="13" t="s">
        <v>51</v>
      </c>
      <c r="B365" s="13" t="s">
        <v>1504</v>
      </c>
      <c r="C365" s="36">
        <v>1</v>
      </c>
      <c r="D365" s="14">
        <v>0</v>
      </c>
      <c r="E365" s="14">
        <v>1000000</v>
      </c>
    </row>
    <row r="366" spans="1:5" x14ac:dyDescent="0.3">
      <c r="A366" s="13" t="s">
        <v>51</v>
      </c>
      <c r="B366" s="13" t="s">
        <v>1505</v>
      </c>
      <c r="C366" s="36">
        <v>1</v>
      </c>
      <c r="D366" s="14">
        <v>0</v>
      </c>
      <c r="E366" s="14">
        <v>1000000</v>
      </c>
    </row>
    <row r="367" spans="1:5" x14ac:dyDescent="0.3">
      <c r="A367" s="13" t="s">
        <v>51</v>
      </c>
      <c r="B367" s="13" t="s">
        <v>1506</v>
      </c>
      <c r="C367" s="36">
        <v>1</v>
      </c>
      <c r="D367" s="14">
        <v>0</v>
      </c>
      <c r="E367" s="14">
        <v>548459.80000000005</v>
      </c>
    </row>
    <row r="368" spans="1:5" x14ac:dyDescent="0.3">
      <c r="A368" s="13" t="s">
        <v>51</v>
      </c>
      <c r="B368" s="13" t="s">
        <v>1507</v>
      </c>
      <c r="C368" s="36">
        <v>1</v>
      </c>
      <c r="D368" s="14">
        <v>0</v>
      </c>
      <c r="E368" s="14">
        <v>23858.03</v>
      </c>
    </row>
    <row r="369" spans="1:5" x14ac:dyDescent="0.3">
      <c r="A369" s="13" t="s">
        <v>51</v>
      </c>
      <c r="B369" s="13" t="s">
        <v>1508</v>
      </c>
      <c r="C369" s="36">
        <v>1</v>
      </c>
      <c r="D369" s="14">
        <v>0</v>
      </c>
      <c r="E369" s="14">
        <v>718310.78</v>
      </c>
    </row>
    <row r="370" spans="1:5" x14ac:dyDescent="0.3">
      <c r="A370" s="13" t="s">
        <v>51</v>
      </c>
      <c r="B370" s="13" t="s">
        <v>1509</v>
      </c>
      <c r="C370" s="36">
        <v>1</v>
      </c>
      <c r="D370" s="14">
        <v>0</v>
      </c>
      <c r="E370" s="14">
        <v>13001.79</v>
      </c>
    </row>
    <row r="371" spans="1:5" x14ac:dyDescent="0.3">
      <c r="A371" s="13" t="s">
        <v>51</v>
      </c>
      <c r="B371" s="13" t="s">
        <v>1510</v>
      </c>
      <c r="C371" s="36">
        <v>1</v>
      </c>
      <c r="D371" s="14">
        <v>0</v>
      </c>
      <c r="E371" s="14">
        <v>26894.33</v>
      </c>
    </row>
    <row r="372" spans="1:5" x14ac:dyDescent="0.3">
      <c r="A372" s="13" t="s">
        <v>51</v>
      </c>
      <c r="B372" s="13" t="s">
        <v>1511</v>
      </c>
      <c r="C372" s="36">
        <v>1</v>
      </c>
      <c r="D372" s="14">
        <v>0</v>
      </c>
      <c r="E372" s="14">
        <v>71602999.769999996</v>
      </c>
    </row>
    <row r="373" spans="1:5" x14ac:dyDescent="0.3">
      <c r="A373" s="13" t="s">
        <v>51</v>
      </c>
      <c r="B373" s="13" t="s">
        <v>1512</v>
      </c>
      <c r="C373" s="36">
        <v>1</v>
      </c>
      <c r="D373" s="14">
        <v>0</v>
      </c>
      <c r="E373" s="14">
        <v>306000.05</v>
      </c>
    </row>
    <row r="374" spans="1:5" x14ac:dyDescent="0.3">
      <c r="A374" s="13" t="s">
        <v>51</v>
      </c>
      <c r="B374" s="13" t="s">
        <v>1513</v>
      </c>
      <c r="C374" s="36">
        <v>1</v>
      </c>
      <c r="D374" s="14">
        <v>0</v>
      </c>
      <c r="E374" s="14">
        <v>123679.1</v>
      </c>
    </row>
    <row r="375" spans="1:5" x14ac:dyDescent="0.3">
      <c r="A375" s="13" t="s">
        <v>51</v>
      </c>
      <c r="B375" s="13" t="s">
        <v>1514</v>
      </c>
      <c r="C375" s="36">
        <v>1</v>
      </c>
      <c r="D375" s="14">
        <v>0</v>
      </c>
      <c r="E375" s="14">
        <v>696513.49</v>
      </c>
    </row>
    <row r="376" spans="1:5" x14ac:dyDescent="0.3">
      <c r="A376" s="13" t="s">
        <v>51</v>
      </c>
      <c r="B376" s="13" t="s">
        <v>1515</v>
      </c>
      <c r="C376" s="36">
        <v>1</v>
      </c>
      <c r="D376" s="14">
        <v>0</v>
      </c>
      <c r="E376" s="14">
        <v>4113.12</v>
      </c>
    </row>
    <row r="377" spans="1:5" x14ac:dyDescent="0.3">
      <c r="A377" s="13" t="s">
        <v>51</v>
      </c>
      <c r="B377" s="13" t="s">
        <v>1516</v>
      </c>
      <c r="C377" s="36">
        <v>1</v>
      </c>
      <c r="D377" s="14">
        <v>0</v>
      </c>
      <c r="E377" s="14">
        <v>321928.5</v>
      </c>
    </row>
    <row r="378" spans="1:5" x14ac:dyDescent="0.3">
      <c r="A378" s="13" t="s">
        <v>51</v>
      </c>
      <c r="B378" s="13" t="s">
        <v>1517</v>
      </c>
      <c r="C378" s="36">
        <v>1</v>
      </c>
      <c r="D378" s="14">
        <v>0</v>
      </c>
      <c r="E378" s="14">
        <v>1161787.7</v>
      </c>
    </row>
    <row r="379" spans="1:5" x14ac:dyDescent="0.3">
      <c r="A379" s="13" t="s">
        <v>51</v>
      </c>
      <c r="B379" s="13" t="s">
        <v>1518</v>
      </c>
      <c r="C379" s="36">
        <v>1</v>
      </c>
      <c r="D379" s="14">
        <v>0</v>
      </c>
      <c r="E379" s="14">
        <v>10485.64</v>
      </c>
    </row>
    <row r="380" spans="1:5" x14ac:dyDescent="0.3">
      <c r="A380" s="13" t="s">
        <v>51</v>
      </c>
      <c r="B380" s="13" t="s">
        <v>1519</v>
      </c>
      <c r="C380" s="36">
        <v>1</v>
      </c>
      <c r="D380" s="14">
        <v>0</v>
      </c>
      <c r="E380" s="14">
        <v>14175.15</v>
      </c>
    </row>
    <row r="381" spans="1:5" x14ac:dyDescent="0.3">
      <c r="A381" s="13" t="s">
        <v>51</v>
      </c>
      <c r="B381" s="13" t="s">
        <v>1520</v>
      </c>
      <c r="C381" s="36">
        <v>1</v>
      </c>
      <c r="D381" s="14">
        <v>0</v>
      </c>
      <c r="E381" s="14">
        <v>577419.27</v>
      </c>
    </row>
    <row r="382" spans="1:5" x14ac:dyDescent="0.3">
      <c r="A382" s="13" t="s">
        <v>51</v>
      </c>
      <c r="B382" s="13" t="s">
        <v>1521</v>
      </c>
      <c r="C382" s="36">
        <v>1</v>
      </c>
      <c r="D382" s="14">
        <v>0</v>
      </c>
      <c r="E382" s="14">
        <v>978202.4</v>
      </c>
    </row>
    <row r="383" spans="1:5" x14ac:dyDescent="0.3">
      <c r="A383" s="13" t="s">
        <v>51</v>
      </c>
      <c r="B383" s="13" t="s">
        <v>1522</v>
      </c>
      <c r="C383" s="36">
        <v>1</v>
      </c>
      <c r="D383" s="14">
        <v>0</v>
      </c>
      <c r="E383" s="14">
        <v>565773.06999999995</v>
      </c>
    </row>
    <row r="384" spans="1:5" x14ac:dyDescent="0.3">
      <c r="A384" s="13" t="s">
        <v>51</v>
      </c>
      <c r="B384" s="13" t="s">
        <v>1523</v>
      </c>
      <c r="C384" s="36">
        <v>1</v>
      </c>
      <c r="D384" s="14">
        <v>0</v>
      </c>
      <c r="E384" s="14">
        <v>163586.94</v>
      </c>
    </row>
    <row r="385" spans="1:5" x14ac:dyDescent="0.3">
      <c r="A385" s="13" t="s">
        <v>51</v>
      </c>
      <c r="B385" s="13" t="s">
        <v>1524</v>
      </c>
      <c r="C385" s="36">
        <v>1</v>
      </c>
      <c r="D385" s="14">
        <v>0</v>
      </c>
      <c r="E385" s="14">
        <v>719644.91</v>
      </c>
    </row>
    <row r="386" spans="1:5" x14ac:dyDescent="0.3">
      <c r="A386" s="13" t="s">
        <v>51</v>
      </c>
      <c r="B386" s="13" t="s">
        <v>1525</v>
      </c>
      <c r="C386" s="36">
        <v>1</v>
      </c>
      <c r="D386" s="14">
        <v>0</v>
      </c>
      <c r="E386" s="14">
        <v>2096323.89</v>
      </c>
    </row>
    <row r="387" spans="1:5" x14ac:dyDescent="0.3">
      <c r="A387" s="13" t="s">
        <v>51</v>
      </c>
      <c r="B387" s="13" t="s">
        <v>1526</v>
      </c>
      <c r="C387" s="36">
        <v>1</v>
      </c>
      <c r="D387" s="14">
        <v>0</v>
      </c>
      <c r="E387" s="14">
        <v>1000000</v>
      </c>
    </row>
    <row r="388" spans="1:5" x14ac:dyDescent="0.3">
      <c r="A388" s="13" t="s">
        <v>51</v>
      </c>
      <c r="B388" s="13" t="s">
        <v>1527</v>
      </c>
      <c r="C388" s="36">
        <v>1</v>
      </c>
      <c r="D388" s="14">
        <v>0</v>
      </c>
      <c r="E388" s="14">
        <v>225324.19</v>
      </c>
    </row>
    <row r="389" spans="1:5" x14ac:dyDescent="0.3">
      <c r="A389" s="13" t="s">
        <v>51</v>
      </c>
      <c r="B389" s="13" t="s">
        <v>1528</v>
      </c>
      <c r="C389" s="36">
        <v>1</v>
      </c>
      <c r="D389" s="14">
        <v>0</v>
      </c>
      <c r="E389" s="14">
        <v>186936.66</v>
      </c>
    </row>
    <row r="390" spans="1:5" x14ac:dyDescent="0.3">
      <c r="A390" s="13" t="s">
        <v>51</v>
      </c>
      <c r="B390" s="13" t="s">
        <v>1529</v>
      </c>
      <c r="C390" s="36">
        <v>1</v>
      </c>
      <c r="D390" s="14">
        <v>0</v>
      </c>
      <c r="E390" s="14">
        <v>10786.55</v>
      </c>
    </row>
    <row r="391" spans="1:5" x14ac:dyDescent="0.3">
      <c r="A391" s="13" t="s">
        <v>51</v>
      </c>
      <c r="B391" s="13" t="s">
        <v>1530</v>
      </c>
      <c r="C391" s="36">
        <v>1</v>
      </c>
      <c r="D391" s="14">
        <v>0</v>
      </c>
      <c r="E391" s="14">
        <v>3034757.92</v>
      </c>
    </row>
    <row r="392" spans="1:5" x14ac:dyDescent="0.3">
      <c r="A392" s="13" t="s">
        <v>51</v>
      </c>
      <c r="B392" s="13" t="s">
        <v>1531</v>
      </c>
      <c r="C392" s="36">
        <v>1</v>
      </c>
      <c r="D392" s="14">
        <v>0</v>
      </c>
      <c r="E392" s="14">
        <v>1269139.2</v>
      </c>
    </row>
    <row r="393" spans="1:5" x14ac:dyDescent="0.3">
      <c r="A393" s="13" t="s">
        <v>51</v>
      </c>
      <c r="B393" s="13" t="s">
        <v>1532</v>
      </c>
      <c r="C393" s="36">
        <v>1</v>
      </c>
      <c r="D393" s="14">
        <v>0</v>
      </c>
      <c r="E393" s="14">
        <v>998082.4</v>
      </c>
    </row>
    <row r="394" spans="1:5" x14ac:dyDescent="0.3">
      <c r="A394" s="13" t="s">
        <v>51</v>
      </c>
      <c r="B394" s="13" t="s">
        <v>1533</v>
      </c>
      <c r="C394" s="36">
        <v>1</v>
      </c>
      <c r="D394" s="14">
        <v>0</v>
      </c>
      <c r="E394" s="14">
        <v>1744696.39</v>
      </c>
    </row>
    <row r="395" spans="1:5" x14ac:dyDescent="0.3">
      <c r="A395" s="13" t="s">
        <v>51</v>
      </c>
      <c r="B395" s="13" t="s">
        <v>1534</v>
      </c>
      <c r="C395" s="36">
        <v>1</v>
      </c>
      <c r="D395" s="14">
        <v>0</v>
      </c>
      <c r="E395" s="14">
        <v>764504.94</v>
      </c>
    </row>
    <row r="396" spans="1:5" x14ac:dyDescent="0.3">
      <c r="A396" s="13" t="s">
        <v>51</v>
      </c>
      <c r="B396" s="13" t="s">
        <v>1535</v>
      </c>
      <c r="C396" s="36">
        <v>1</v>
      </c>
      <c r="D396" s="14">
        <v>0</v>
      </c>
      <c r="E396" s="14">
        <v>3419538.53</v>
      </c>
    </row>
    <row r="397" spans="1:5" x14ac:dyDescent="0.3">
      <c r="A397" s="13" t="s">
        <v>51</v>
      </c>
      <c r="B397" s="13" t="s">
        <v>1536</v>
      </c>
      <c r="C397" s="36">
        <v>1</v>
      </c>
      <c r="D397" s="14">
        <v>0</v>
      </c>
      <c r="E397" s="14">
        <v>276038.2</v>
      </c>
    </row>
    <row r="398" spans="1:5" x14ac:dyDescent="0.3">
      <c r="A398" s="13" t="s">
        <v>51</v>
      </c>
      <c r="B398" s="13" t="s">
        <v>1537</v>
      </c>
      <c r="C398" s="36">
        <v>1</v>
      </c>
      <c r="D398" s="14">
        <v>0</v>
      </c>
      <c r="E398" s="14">
        <v>16740.099999999999</v>
      </c>
    </row>
    <row r="399" spans="1:5" x14ac:dyDescent="0.3">
      <c r="A399" s="13" t="s">
        <v>51</v>
      </c>
      <c r="B399" s="13" t="s">
        <v>1538</v>
      </c>
      <c r="C399" s="36">
        <v>1</v>
      </c>
      <c r="D399" s="14">
        <v>0</v>
      </c>
      <c r="E399" s="14">
        <v>17194.12</v>
      </c>
    </row>
    <row r="400" spans="1:5" x14ac:dyDescent="0.3">
      <c r="A400" s="13" t="s">
        <v>51</v>
      </c>
      <c r="B400" s="13" t="s">
        <v>1539</v>
      </c>
      <c r="C400" s="36">
        <v>1</v>
      </c>
      <c r="D400" s="14">
        <v>0</v>
      </c>
      <c r="E400" s="14">
        <v>144791.23000000001</v>
      </c>
    </row>
    <row r="401" spans="1:5" x14ac:dyDescent="0.3">
      <c r="A401" s="13" t="s">
        <v>51</v>
      </c>
      <c r="B401" s="13" t="s">
        <v>1540</v>
      </c>
      <c r="C401" s="36">
        <v>1</v>
      </c>
      <c r="D401" s="14">
        <v>0</v>
      </c>
      <c r="E401" s="14">
        <v>72926.7</v>
      </c>
    </row>
    <row r="402" spans="1:5" x14ac:dyDescent="0.3">
      <c r="A402" s="13" t="s">
        <v>51</v>
      </c>
      <c r="B402" s="13" t="s">
        <v>1541</v>
      </c>
      <c r="C402" s="36">
        <v>1</v>
      </c>
      <c r="D402" s="14">
        <v>0</v>
      </c>
      <c r="E402" s="14">
        <v>15441</v>
      </c>
    </row>
    <row r="403" spans="1:5" x14ac:dyDescent="0.3">
      <c r="A403" s="13" t="s">
        <v>51</v>
      </c>
      <c r="B403" s="13" t="s">
        <v>1542</v>
      </c>
      <c r="C403" s="36">
        <v>1</v>
      </c>
      <c r="D403" s="14">
        <v>0</v>
      </c>
      <c r="E403" s="14">
        <v>1592299.5</v>
      </c>
    </row>
    <row r="404" spans="1:5" x14ac:dyDescent="0.3">
      <c r="A404" s="13" t="s">
        <v>51</v>
      </c>
      <c r="B404" s="13" t="s">
        <v>1543</v>
      </c>
      <c r="C404" s="36">
        <v>1</v>
      </c>
      <c r="D404" s="14">
        <v>0</v>
      </c>
      <c r="E404" s="14">
        <v>463200</v>
      </c>
    </row>
    <row r="405" spans="1:5" x14ac:dyDescent="0.3">
      <c r="A405" s="13" t="s">
        <v>51</v>
      </c>
      <c r="B405" s="13" t="s">
        <v>1544</v>
      </c>
      <c r="C405" s="36">
        <v>1</v>
      </c>
      <c r="D405" s="14">
        <v>0</v>
      </c>
      <c r="E405" s="14">
        <v>685989.93</v>
      </c>
    </row>
    <row r="406" spans="1:5" x14ac:dyDescent="0.3">
      <c r="A406" s="13" t="s">
        <v>51</v>
      </c>
      <c r="B406" s="13" t="s">
        <v>1545</v>
      </c>
      <c r="C406" s="36">
        <v>1</v>
      </c>
      <c r="D406" s="14">
        <v>0</v>
      </c>
      <c r="E406" s="14">
        <v>326369.75</v>
      </c>
    </row>
    <row r="407" spans="1:5" x14ac:dyDescent="0.3">
      <c r="A407" s="13" t="s">
        <v>51</v>
      </c>
      <c r="B407" s="13" t="s">
        <v>1546</v>
      </c>
      <c r="C407" s="36">
        <v>1</v>
      </c>
      <c r="D407" s="14">
        <v>0</v>
      </c>
      <c r="E407" s="14">
        <v>663142.12</v>
      </c>
    </row>
    <row r="408" spans="1:5" x14ac:dyDescent="0.3">
      <c r="A408" s="13" t="s">
        <v>51</v>
      </c>
      <c r="B408" s="13" t="s">
        <v>1547</v>
      </c>
      <c r="C408" s="36">
        <v>1</v>
      </c>
      <c r="D408" s="14">
        <v>0</v>
      </c>
      <c r="E408" s="14">
        <v>4881.68</v>
      </c>
    </row>
    <row r="409" spans="1:5" x14ac:dyDescent="0.3">
      <c r="A409" s="13" t="s">
        <v>51</v>
      </c>
      <c r="B409" s="13" t="s">
        <v>1548</v>
      </c>
      <c r="C409" s="36">
        <v>1</v>
      </c>
      <c r="D409" s="14">
        <v>0</v>
      </c>
      <c r="E409" s="14">
        <v>3000000</v>
      </c>
    </row>
    <row r="410" spans="1:5" x14ac:dyDescent="0.3">
      <c r="A410" s="13" t="s">
        <v>51</v>
      </c>
      <c r="B410" s="13" t="s">
        <v>1549</v>
      </c>
      <c r="C410" s="36">
        <v>1</v>
      </c>
      <c r="D410" s="14">
        <v>0</v>
      </c>
      <c r="E410" s="14">
        <v>667562</v>
      </c>
    </row>
    <row r="411" spans="1:5" x14ac:dyDescent="0.3">
      <c r="A411" s="13" t="s">
        <v>51</v>
      </c>
      <c r="B411" s="13" t="s">
        <v>1550</v>
      </c>
      <c r="C411" s="36">
        <v>1</v>
      </c>
      <c r="D411" s="14">
        <v>0</v>
      </c>
      <c r="E411" s="14">
        <v>258192.72</v>
      </c>
    </row>
    <row r="412" spans="1:5" x14ac:dyDescent="0.3">
      <c r="A412" s="13" t="s">
        <v>51</v>
      </c>
      <c r="B412" s="13" t="s">
        <v>1551</v>
      </c>
      <c r="C412" s="36">
        <v>1</v>
      </c>
      <c r="D412" s="14">
        <v>0</v>
      </c>
      <c r="E412" s="14">
        <v>118943</v>
      </c>
    </row>
    <row r="413" spans="1:5" x14ac:dyDescent="0.3">
      <c r="A413" s="13" t="s">
        <v>51</v>
      </c>
      <c r="B413" s="13" t="s">
        <v>1552</v>
      </c>
      <c r="C413" s="36">
        <v>1</v>
      </c>
      <c r="D413" s="14">
        <v>0</v>
      </c>
      <c r="E413" s="14">
        <v>19241</v>
      </c>
    </row>
    <row r="414" spans="1:5" x14ac:dyDescent="0.3">
      <c r="A414" s="13" t="s">
        <v>51</v>
      </c>
      <c r="B414" s="13" t="s">
        <v>1553</v>
      </c>
      <c r="C414" s="36">
        <v>1</v>
      </c>
      <c r="D414" s="14">
        <v>0</v>
      </c>
      <c r="E414" s="14">
        <v>874702.13</v>
      </c>
    </row>
    <row r="415" spans="1:5" x14ac:dyDescent="0.3">
      <c r="A415" s="13" t="s">
        <v>51</v>
      </c>
      <c r="B415" s="13" t="s">
        <v>1554</v>
      </c>
      <c r="C415" s="36">
        <v>1</v>
      </c>
      <c r="D415" s="14">
        <v>0</v>
      </c>
      <c r="E415" s="14">
        <v>10824.66</v>
      </c>
    </row>
    <row r="416" spans="1:5" x14ac:dyDescent="0.3">
      <c r="A416" s="13" t="s">
        <v>51</v>
      </c>
      <c r="B416" s="13" t="s">
        <v>1555</v>
      </c>
      <c r="C416" s="36">
        <v>1</v>
      </c>
      <c r="D416" s="14">
        <v>0</v>
      </c>
      <c r="E416" s="14">
        <v>17190.939999999999</v>
      </c>
    </row>
    <row r="417" spans="1:5" x14ac:dyDescent="0.3">
      <c r="A417" s="13" t="s">
        <v>51</v>
      </c>
      <c r="B417" s="13" t="s">
        <v>1556</v>
      </c>
      <c r="C417" s="36">
        <v>1</v>
      </c>
      <c r="D417" s="14">
        <v>0</v>
      </c>
      <c r="E417" s="14">
        <v>20963.04</v>
      </c>
    </row>
    <row r="418" spans="1:5" x14ac:dyDescent="0.3">
      <c r="A418" s="13" t="s">
        <v>51</v>
      </c>
      <c r="B418" s="13" t="s">
        <v>1557</v>
      </c>
      <c r="C418" s="36">
        <v>1</v>
      </c>
      <c r="D418" s="14">
        <v>0</v>
      </c>
      <c r="E418" s="14">
        <v>7000000</v>
      </c>
    </row>
    <row r="419" spans="1:5" x14ac:dyDescent="0.3">
      <c r="A419" s="13" t="s">
        <v>51</v>
      </c>
      <c r="B419" s="13" t="s">
        <v>1558</v>
      </c>
      <c r="C419" s="36">
        <v>1</v>
      </c>
      <c r="D419" s="14">
        <v>0</v>
      </c>
      <c r="E419" s="14">
        <v>83336.3</v>
      </c>
    </row>
    <row r="420" spans="1:5" x14ac:dyDescent="0.3">
      <c r="A420" s="13" t="s">
        <v>51</v>
      </c>
      <c r="B420" s="13" t="s">
        <v>1559</v>
      </c>
      <c r="C420" s="36">
        <v>1</v>
      </c>
      <c r="D420" s="14">
        <v>0</v>
      </c>
      <c r="E420" s="14">
        <v>32915.57</v>
      </c>
    </row>
    <row r="421" spans="1:5" x14ac:dyDescent="0.3">
      <c r="A421" s="13" t="s">
        <v>51</v>
      </c>
      <c r="B421" s="13" t="s">
        <v>1560</v>
      </c>
      <c r="C421" s="36">
        <v>1</v>
      </c>
      <c r="D421" s="14">
        <v>0</v>
      </c>
      <c r="E421" s="14">
        <v>773782.85</v>
      </c>
    </row>
    <row r="422" spans="1:5" x14ac:dyDescent="0.3">
      <c r="A422" s="13" t="s">
        <v>51</v>
      </c>
      <c r="B422" s="13" t="s">
        <v>1561</v>
      </c>
      <c r="C422" s="36">
        <v>1</v>
      </c>
      <c r="D422" s="14">
        <v>0</v>
      </c>
      <c r="E422" s="14">
        <v>28476.48</v>
      </c>
    </row>
    <row r="423" spans="1:5" x14ac:dyDescent="0.3">
      <c r="A423" s="13" t="s">
        <v>51</v>
      </c>
      <c r="B423" s="13" t="s">
        <v>1562</v>
      </c>
      <c r="C423" s="36">
        <v>1</v>
      </c>
      <c r="D423" s="14">
        <v>0</v>
      </c>
      <c r="E423" s="14">
        <v>532223.94999999995</v>
      </c>
    </row>
    <row r="424" spans="1:5" x14ac:dyDescent="0.3">
      <c r="A424" s="13" t="s">
        <v>51</v>
      </c>
      <c r="B424" s="13" t="s">
        <v>1563</v>
      </c>
      <c r="C424" s="36">
        <v>1</v>
      </c>
      <c r="D424" s="14">
        <v>0</v>
      </c>
      <c r="E424" s="14">
        <v>57973.91</v>
      </c>
    </row>
    <row r="425" spans="1:5" x14ac:dyDescent="0.3">
      <c r="A425" s="13" t="s">
        <v>51</v>
      </c>
      <c r="B425" s="13" t="s">
        <v>1564</v>
      </c>
      <c r="C425" s="36">
        <v>1</v>
      </c>
      <c r="D425" s="14">
        <v>0</v>
      </c>
      <c r="E425" s="14">
        <v>265525.07</v>
      </c>
    </row>
    <row r="426" spans="1:5" x14ac:dyDescent="0.3">
      <c r="A426" s="13" t="s">
        <v>51</v>
      </c>
      <c r="B426" s="13" t="s">
        <v>1565</v>
      </c>
      <c r="C426" s="36">
        <v>1</v>
      </c>
      <c r="D426" s="14">
        <v>0</v>
      </c>
      <c r="E426" s="14">
        <v>345543</v>
      </c>
    </row>
    <row r="427" spans="1:5" x14ac:dyDescent="0.3">
      <c r="A427" s="13" t="s">
        <v>51</v>
      </c>
      <c r="B427" s="13" t="s">
        <v>1566</v>
      </c>
      <c r="C427" s="36">
        <v>1</v>
      </c>
      <c r="D427" s="14">
        <v>0</v>
      </c>
      <c r="E427" s="14">
        <v>85708.52</v>
      </c>
    </row>
    <row r="428" spans="1:5" x14ac:dyDescent="0.3">
      <c r="A428" s="13" t="s">
        <v>51</v>
      </c>
      <c r="B428" s="13" t="s">
        <v>1567</v>
      </c>
      <c r="C428" s="36">
        <v>1</v>
      </c>
      <c r="D428" s="14">
        <v>0</v>
      </c>
      <c r="E428" s="14">
        <v>375371.2</v>
      </c>
    </row>
    <row r="429" spans="1:5" x14ac:dyDescent="0.3">
      <c r="A429" s="13" t="s">
        <v>51</v>
      </c>
      <c r="B429" s="13" t="s">
        <v>1568</v>
      </c>
      <c r="C429" s="36">
        <v>1</v>
      </c>
      <c r="D429" s="14">
        <v>0</v>
      </c>
      <c r="E429" s="14">
        <v>393794.5</v>
      </c>
    </row>
    <row r="430" spans="1:5" x14ac:dyDescent="0.3">
      <c r="A430" s="13" t="s">
        <v>51</v>
      </c>
      <c r="B430" s="13" t="s">
        <v>1569</v>
      </c>
      <c r="C430" s="36">
        <v>1</v>
      </c>
      <c r="D430" s="14">
        <v>0</v>
      </c>
      <c r="E430" s="14">
        <v>1252079.22</v>
      </c>
    </row>
    <row r="431" spans="1:5" x14ac:dyDescent="0.3">
      <c r="A431" s="13" t="s">
        <v>51</v>
      </c>
      <c r="B431" s="13" t="s">
        <v>1570</v>
      </c>
      <c r="C431" s="36">
        <v>1</v>
      </c>
      <c r="D431" s="14">
        <v>0</v>
      </c>
      <c r="E431" s="14">
        <v>120730.65</v>
      </c>
    </row>
    <row r="432" spans="1:5" x14ac:dyDescent="0.3">
      <c r="A432" s="13" t="s">
        <v>51</v>
      </c>
      <c r="B432" s="13" t="s">
        <v>1571</v>
      </c>
      <c r="C432" s="36">
        <v>1</v>
      </c>
      <c r="D432" s="14">
        <v>0</v>
      </c>
      <c r="E432" s="14">
        <v>167171.23000000001</v>
      </c>
    </row>
    <row r="433" spans="1:5" x14ac:dyDescent="0.3">
      <c r="A433" s="13" t="s">
        <v>51</v>
      </c>
      <c r="B433" s="13" t="s">
        <v>1572</v>
      </c>
      <c r="C433" s="36">
        <v>1</v>
      </c>
      <c r="D433" s="14">
        <v>0</v>
      </c>
      <c r="E433" s="14">
        <v>64102.9</v>
      </c>
    </row>
    <row r="434" spans="1:5" x14ac:dyDescent="0.3">
      <c r="A434" s="13" t="s">
        <v>51</v>
      </c>
      <c r="B434" s="13" t="s">
        <v>1573</v>
      </c>
      <c r="C434" s="36">
        <v>1</v>
      </c>
      <c r="D434" s="14">
        <v>0</v>
      </c>
      <c r="E434" s="14">
        <v>10794.93</v>
      </c>
    </row>
    <row r="435" spans="1:5" x14ac:dyDescent="0.3">
      <c r="A435" s="13" t="s">
        <v>51</v>
      </c>
      <c r="B435" s="13" t="s">
        <v>1574</v>
      </c>
      <c r="C435" s="36">
        <v>1</v>
      </c>
      <c r="D435" s="14">
        <v>0</v>
      </c>
      <c r="E435" s="14">
        <v>302007</v>
      </c>
    </row>
    <row r="436" spans="1:5" x14ac:dyDescent="0.3">
      <c r="A436" s="13" t="s">
        <v>51</v>
      </c>
      <c r="B436" s="13" t="s">
        <v>1575</v>
      </c>
      <c r="C436" s="36">
        <v>1</v>
      </c>
      <c r="D436" s="14">
        <v>0</v>
      </c>
      <c r="E436" s="14">
        <v>4261383.5199999996</v>
      </c>
    </row>
    <row r="437" spans="1:5" x14ac:dyDescent="0.3">
      <c r="A437" s="13" t="s">
        <v>51</v>
      </c>
      <c r="B437" s="13" t="s">
        <v>1576</v>
      </c>
      <c r="C437" s="36">
        <v>1</v>
      </c>
      <c r="D437" s="14">
        <v>0</v>
      </c>
      <c r="E437" s="14">
        <v>36568.519999999997</v>
      </c>
    </row>
    <row r="438" spans="1:5" x14ac:dyDescent="0.3">
      <c r="A438" s="13" t="s">
        <v>51</v>
      </c>
      <c r="B438" s="13" t="s">
        <v>1577</v>
      </c>
      <c r="C438" s="36">
        <v>1</v>
      </c>
      <c r="D438" s="14">
        <v>0</v>
      </c>
      <c r="E438" s="14">
        <v>163099.23000000001</v>
      </c>
    </row>
    <row r="439" spans="1:5" x14ac:dyDescent="0.3">
      <c r="A439" s="13" t="s">
        <v>51</v>
      </c>
      <c r="B439" s="13" t="s">
        <v>1578</v>
      </c>
      <c r="C439" s="36">
        <v>1</v>
      </c>
      <c r="D439" s="14">
        <v>0</v>
      </c>
      <c r="E439" s="14">
        <v>717.75</v>
      </c>
    </row>
    <row r="440" spans="1:5" x14ac:dyDescent="0.3">
      <c r="A440" s="13" t="s">
        <v>51</v>
      </c>
      <c r="B440" s="13" t="s">
        <v>1579</v>
      </c>
      <c r="C440" s="36">
        <v>1</v>
      </c>
      <c r="D440" s="14">
        <v>0</v>
      </c>
      <c r="E440" s="14">
        <v>25222.41</v>
      </c>
    </row>
    <row r="441" spans="1:5" x14ac:dyDescent="0.3">
      <c r="A441" s="13" t="s">
        <v>51</v>
      </c>
      <c r="B441" s="13" t="s">
        <v>1580</v>
      </c>
      <c r="C441" s="36">
        <v>1</v>
      </c>
      <c r="D441" s="14">
        <v>0</v>
      </c>
      <c r="E441" s="14">
        <v>145483.63</v>
      </c>
    </row>
    <row r="442" spans="1:5" x14ac:dyDescent="0.3">
      <c r="A442" s="13" t="s">
        <v>51</v>
      </c>
      <c r="B442" s="13" t="s">
        <v>1581</v>
      </c>
      <c r="C442" s="36">
        <v>1</v>
      </c>
      <c r="D442" s="14">
        <v>0</v>
      </c>
      <c r="E442" s="14">
        <v>4000000</v>
      </c>
    </row>
    <row r="443" spans="1:5" x14ac:dyDescent="0.3">
      <c r="A443" s="13" t="s">
        <v>51</v>
      </c>
      <c r="B443" s="13" t="s">
        <v>1582</v>
      </c>
      <c r="C443" s="36">
        <v>1</v>
      </c>
      <c r="D443" s="14">
        <v>0</v>
      </c>
      <c r="E443" s="14">
        <v>309276</v>
      </c>
    </row>
    <row r="444" spans="1:5" x14ac:dyDescent="0.3">
      <c r="A444" s="13" t="s">
        <v>51</v>
      </c>
      <c r="B444" s="13" t="s">
        <v>1583</v>
      </c>
      <c r="C444" s="36">
        <v>1</v>
      </c>
      <c r="D444" s="14">
        <v>0</v>
      </c>
      <c r="E444" s="14">
        <v>140030.04</v>
      </c>
    </row>
    <row r="445" spans="1:5" x14ac:dyDescent="0.3">
      <c r="A445" s="13" t="s">
        <v>51</v>
      </c>
      <c r="B445" s="13" t="s">
        <v>1584</v>
      </c>
      <c r="C445" s="36">
        <v>1</v>
      </c>
      <c r="D445" s="14">
        <v>0</v>
      </c>
      <c r="E445" s="14">
        <v>167919.12</v>
      </c>
    </row>
    <row r="446" spans="1:5" x14ac:dyDescent="0.3">
      <c r="A446" s="13" t="s">
        <v>51</v>
      </c>
      <c r="B446" s="13" t="s">
        <v>1585</v>
      </c>
      <c r="C446" s="36">
        <v>1</v>
      </c>
      <c r="D446" s="14">
        <v>0</v>
      </c>
      <c r="E446" s="14">
        <v>2489256.2999999998</v>
      </c>
    </row>
    <row r="447" spans="1:5" x14ac:dyDescent="0.3">
      <c r="A447" s="13" t="s">
        <v>51</v>
      </c>
      <c r="B447" s="13" t="s">
        <v>1586</v>
      </c>
      <c r="C447" s="36">
        <v>1</v>
      </c>
      <c r="D447" s="14">
        <v>0</v>
      </c>
      <c r="E447" s="14">
        <v>1836790.52</v>
      </c>
    </row>
    <row r="448" spans="1:5" x14ac:dyDescent="0.3">
      <c r="A448" s="13" t="s">
        <v>51</v>
      </c>
      <c r="B448" s="13" t="s">
        <v>1587</v>
      </c>
      <c r="C448" s="36">
        <v>1</v>
      </c>
      <c r="D448" s="14">
        <v>0</v>
      </c>
      <c r="E448" s="14">
        <v>1233857.6200000001</v>
      </c>
    </row>
    <row r="449" spans="1:5" x14ac:dyDescent="0.3">
      <c r="A449" s="13" t="s">
        <v>51</v>
      </c>
      <c r="B449" s="13" t="s">
        <v>1588</v>
      </c>
      <c r="C449" s="36">
        <v>1</v>
      </c>
      <c r="D449" s="14">
        <v>0</v>
      </c>
      <c r="E449" s="14">
        <v>89720.88</v>
      </c>
    </row>
    <row r="450" spans="1:5" x14ac:dyDescent="0.3">
      <c r="A450" s="13" t="s">
        <v>51</v>
      </c>
      <c r="B450" s="13" t="s">
        <v>1589</v>
      </c>
      <c r="C450" s="36">
        <v>1</v>
      </c>
      <c r="D450" s="14">
        <v>0</v>
      </c>
      <c r="E450" s="14">
        <v>90764.52</v>
      </c>
    </row>
    <row r="451" spans="1:5" x14ac:dyDescent="0.3">
      <c r="A451" s="13" t="s">
        <v>51</v>
      </c>
      <c r="B451" s="13" t="s">
        <v>1590</v>
      </c>
      <c r="C451" s="36">
        <v>1</v>
      </c>
      <c r="D451" s="14">
        <v>0</v>
      </c>
      <c r="E451" s="14">
        <v>13316.45</v>
      </c>
    </row>
    <row r="452" spans="1:5" x14ac:dyDescent="0.3">
      <c r="A452" s="13" t="s">
        <v>51</v>
      </c>
      <c r="B452" s="13" t="s">
        <v>1591</v>
      </c>
      <c r="C452" s="36">
        <v>1</v>
      </c>
      <c r="D452" s="14">
        <v>0</v>
      </c>
      <c r="E452" s="14">
        <v>1000000</v>
      </c>
    </row>
    <row r="453" spans="1:5" x14ac:dyDescent="0.3">
      <c r="A453" s="13" t="s">
        <v>51</v>
      </c>
      <c r="B453" s="13" t="s">
        <v>1592</v>
      </c>
      <c r="C453" s="36">
        <v>1</v>
      </c>
      <c r="D453" s="14">
        <v>0</v>
      </c>
      <c r="E453" s="14">
        <v>163226.26</v>
      </c>
    </row>
    <row r="454" spans="1:5" x14ac:dyDescent="0.3">
      <c r="A454" s="13" t="s">
        <v>51</v>
      </c>
      <c r="B454" s="13" t="s">
        <v>1593</v>
      </c>
      <c r="C454" s="36">
        <v>1</v>
      </c>
      <c r="D454" s="14">
        <v>0</v>
      </c>
      <c r="E454" s="14">
        <v>199383.29</v>
      </c>
    </row>
    <row r="455" spans="1:5" x14ac:dyDescent="0.3">
      <c r="A455" s="13" t="s">
        <v>51</v>
      </c>
      <c r="B455" s="13" t="s">
        <v>1594</v>
      </c>
      <c r="C455" s="36">
        <v>1</v>
      </c>
      <c r="D455" s="14">
        <v>0</v>
      </c>
      <c r="E455" s="14">
        <v>6000000</v>
      </c>
    </row>
    <row r="456" spans="1:5" x14ac:dyDescent="0.3">
      <c r="A456" s="13" t="s">
        <v>51</v>
      </c>
      <c r="B456" s="13" t="s">
        <v>1595</v>
      </c>
      <c r="C456" s="36">
        <v>1</v>
      </c>
      <c r="D456" s="14">
        <v>0</v>
      </c>
      <c r="E456" s="14">
        <v>612349.85</v>
      </c>
    </row>
    <row r="457" spans="1:5" x14ac:dyDescent="0.3">
      <c r="A457" s="13" t="s">
        <v>51</v>
      </c>
      <c r="B457" s="13" t="s">
        <v>1596</v>
      </c>
      <c r="C457" s="36">
        <v>1</v>
      </c>
      <c r="D457" s="14">
        <v>0</v>
      </c>
      <c r="E457" s="14">
        <v>774090</v>
      </c>
    </row>
    <row r="458" spans="1:5" x14ac:dyDescent="0.3">
      <c r="A458" s="13" t="s">
        <v>51</v>
      </c>
      <c r="B458" s="13" t="s">
        <v>1597</v>
      </c>
      <c r="C458" s="36">
        <v>1</v>
      </c>
      <c r="D458" s="14">
        <v>0</v>
      </c>
      <c r="E458" s="14">
        <v>552006.21</v>
      </c>
    </row>
    <row r="459" spans="1:5" x14ac:dyDescent="0.3">
      <c r="A459" s="13" t="s">
        <v>51</v>
      </c>
      <c r="B459" s="13" t="s">
        <v>1598</v>
      </c>
      <c r="C459" s="36">
        <v>1</v>
      </c>
      <c r="D459" s="14">
        <v>0</v>
      </c>
      <c r="E459" s="14">
        <v>20206.2</v>
      </c>
    </row>
    <row r="460" spans="1:5" x14ac:dyDescent="0.3">
      <c r="A460" s="13" t="s">
        <v>51</v>
      </c>
      <c r="B460" s="13" t="s">
        <v>1599</v>
      </c>
      <c r="C460" s="36">
        <v>1</v>
      </c>
      <c r="D460" s="14">
        <v>0</v>
      </c>
      <c r="E460" s="14">
        <v>314127.17</v>
      </c>
    </row>
    <row r="461" spans="1:5" x14ac:dyDescent="0.3">
      <c r="A461" s="13" t="s">
        <v>51</v>
      </c>
      <c r="B461" s="13" t="s">
        <v>1600</v>
      </c>
      <c r="C461" s="36">
        <v>1</v>
      </c>
      <c r="D461" s="14">
        <v>0</v>
      </c>
      <c r="E461" s="14">
        <v>765317.27</v>
      </c>
    </row>
    <row r="462" spans="1:5" x14ac:dyDescent="0.3">
      <c r="A462" s="13" t="s">
        <v>51</v>
      </c>
      <c r="B462" s="13" t="s">
        <v>1601</v>
      </c>
      <c r="C462" s="36">
        <v>1</v>
      </c>
      <c r="D462" s="14">
        <v>0</v>
      </c>
      <c r="E462" s="14">
        <v>1656214.2</v>
      </c>
    </row>
    <row r="463" spans="1:5" x14ac:dyDescent="0.3">
      <c r="A463" s="13" t="s">
        <v>51</v>
      </c>
      <c r="B463" s="13" t="s">
        <v>1602</v>
      </c>
      <c r="C463" s="36">
        <v>1</v>
      </c>
      <c r="D463" s="14">
        <v>0</v>
      </c>
      <c r="E463" s="14">
        <v>62431.53</v>
      </c>
    </row>
    <row r="464" spans="1:5" x14ac:dyDescent="0.3">
      <c r="A464" s="13" t="s">
        <v>51</v>
      </c>
      <c r="B464" s="13" t="s">
        <v>1603</v>
      </c>
      <c r="C464" s="36">
        <v>1</v>
      </c>
      <c r="D464" s="14">
        <v>0</v>
      </c>
      <c r="E464" s="14">
        <v>7735380.5</v>
      </c>
    </row>
    <row r="465" spans="1:5" x14ac:dyDescent="0.3">
      <c r="A465" s="13" t="s">
        <v>51</v>
      </c>
      <c r="B465" s="13" t="s">
        <v>1604</v>
      </c>
      <c r="C465" s="36">
        <v>1</v>
      </c>
      <c r="D465" s="14">
        <v>0</v>
      </c>
      <c r="E465" s="14">
        <v>315841.98</v>
      </c>
    </row>
    <row r="466" spans="1:5" x14ac:dyDescent="0.3">
      <c r="A466" s="13" t="s">
        <v>51</v>
      </c>
      <c r="B466" s="13" t="s">
        <v>1605</v>
      </c>
      <c r="C466" s="36">
        <v>1</v>
      </c>
      <c r="D466" s="14">
        <v>0</v>
      </c>
      <c r="E466" s="14">
        <v>183836.79999999999</v>
      </c>
    </row>
    <row r="467" spans="1:5" x14ac:dyDescent="0.3">
      <c r="A467" s="13" t="s">
        <v>51</v>
      </c>
      <c r="B467" s="13" t="s">
        <v>1606</v>
      </c>
      <c r="C467" s="36">
        <v>1</v>
      </c>
      <c r="D467" s="14">
        <v>0</v>
      </c>
      <c r="E467" s="14">
        <v>1067992.79</v>
      </c>
    </row>
    <row r="468" spans="1:5" x14ac:dyDescent="0.3">
      <c r="A468" s="13" t="s">
        <v>51</v>
      </c>
      <c r="B468" s="13" t="s">
        <v>1607</v>
      </c>
      <c r="C468" s="36">
        <v>1</v>
      </c>
      <c r="D468" s="14">
        <v>0</v>
      </c>
      <c r="E468" s="14">
        <v>3000000</v>
      </c>
    </row>
    <row r="469" spans="1:5" x14ac:dyDescent="0.3">
      <c r="A469" s="13" t="s">
        <v>51</v>
      </c>
      <c r="B469" s="13" t="s">
        <v>1608</v>
      </c>
      <c r="C469" s="36">
        <v>1</v>
      </c>
      <c r="D469" s="14">
        <v>0</v>
      </c>
      <c r="E469" s="14">
        <v>116041.9</v>
      </c>
    </row>
    <row r="470" spans="1:5" x14ac:dyDescent="0.3">
      <c r="A470" s="13" t="s">
        <v>51</v>
      </c>
      <c r="B470" s="13" t="s">
        <v>1609</v>
      </c>
      <c r="C470" s="36">
        <v>1</v>
      </c>
      <c r="D470" s="14">
        <v>0</v>
      </c>
      <c r="E470" s="14">
        <v>1122853.3500000001</v>
      </c>
    </row>
    <row r="471" spans="1:5" x14ac:dyDescent="0.3">
      <c r="A471" s="13" t="s">
        <v>51</v>
      </c>
      <c r="B471" s="13" t="s">
        <v>1610</v>
      </c>
      <c r="C471" s="36">
        <v>1</v>
      </c>
      <c r="D471" s="14">
        <v>0</v>
      </c>
      <c r="E471" s="14">
        <v>1250435.77</v>
      </c>
    </row>
    <row r="472" spans="1:5" x14ac:dyDescent="0.3">
      <c r="A472" s="13" t="s">
        <v>51</v>
      </c>
      <c r="B472" s="13" t="s">
        <v>1611</v>
      </c>
      <c r="C472" s="36">
        <v>1</v>
      </c>
      <c r="D472" s="14">
        <v>0</v>
      </c>
      <c r="E472" s="14">
        <v>173503.88</v>
      </c>
    </row>
    <row r="473" spans="1:5" x14ac:dyDescent="0.3">
      <c r="A473" s="13" t="s">
        <v>51</v>
      </c>
      <c r="B473" s="13" t="s">
        <v>1612</v>
      </c>
      <c r="C473" s="36">
        <v>1</v>
      </c>
      <c r="D473" s="14">
        <v>0</v>
      </c>
      <c r="E473" s="14">
        <v>596451.92000000004</v>
      </c>
    </row>
    <row r="474" spans="1:5" x14ac:dyDescent="0.3">
      <c r="A474" s="13" t="s">
        <v>51</v>
      </c>
      <c r="B474" s="13" t="s">
        <v>1613</v>
      </c>
      <c r="C474" s="36">
        <v>1</v>
      </c>
      <c r="D474" s="14">
        <v>0</v>
      </c>
      <c r="E474" s="14">
        <v>266713.87</v>
      </c>
    </row>
    <row r="475" spans="1:5" x14ac:dyDescent="0.3">
      <c r="A475" s="13" t="s">
        <v>51</v>
      </c>
      <c r="B475" s="13" t="s">
        <v>1614</v>
      </c>
      <c r="C475" s="36">
        <v>1</v>
      </c>
      <c r="D475" s="14">
        <v>0</v>
      </c>
      <c r="E475" s="14">
        <v>107044.75</v>
      </c>
    </row>
    <row r="476" spans="1:5" x14ac:dyDescent="0.3">
      <c r="A476" s="13" t="s">
        <v>51</v>
      </c>
      <c r="B476" s="13" t="s">
        <v>1615</v>
      </c>
      <c r="C476" s="36">
        <v>1</v>
      </c>
      <c r="D476" s="14">
        <v>0</v>
      </c>
      <c r="E476" s="14">
        <v>290294.55</v>
      </c>
    </row>
    <row r="477" spans="1:5" x14ac:dyDescent="0.3">
      <c r="A477" s="13" t="s">
        <v>51</v>
      </c>
      <c r="B477" s="13" t="s">
        <v>1616</v>
      </c>
      <c r="C477" s="36">
        <v>1</v>
      </c>
      <c r="D477" s="14">
        <v>0</v>
      </c>
      <c r="E477" s="14">
        <v>70792.7</v>
      </c>
    </row>
    <row r="478" spans="1:5" x14ac:dyDescent="0.3">
      <c r="A478" s="13" t="s">
        <v>51</v>
      </c>
      <c r="B478" s="13" t="s">
        <v>1617</v>
      </c>
      <c r="C478" s="36">
        <v>1</v>
      </c>
      <c r="D478" s="14">
        <v>0</v>
      </c>
      <c r="E478" s="14">
        <v>72514.7</v>
      </c>
    </row>
    <row r="479" spans="1:5" x14ac:dyDescent="0.3">
      <c r="A479" s="13" t="s">
        <v>51</v>
      </c>
      <c r="B479" s="13" t="s">
        <v>1618</v>
      </c>
      <c r="C479" s="36">
        <v>1</v>
      </c>
      <c r="D479" s="14">
        <v>0</v>
      </c>
      <c r="E479" s="14">
        <v>106948.5</v>
      </c>
    </row>
    <row r="480" spans="1:5" x14ac:dyDescent="0.3">
      <c r="A480" s="13" t="s">
        <v>51</v>
      </c>
      <c r="B480" s="13" t="s">
        <v>1619</v>
      </c>
      <c r="C480" s="36">
        <v>1</v>
      </c>
      <c r="D480" s="14">
        <v>0</v>
      </c>
      <c r="E480" s="14">
        <v>56571.58</v>
      </c>
    </row>
    <row r="481" spans="1:5" x14ac:dyDescent="0.3">
      <c r="A481" s="13" t="s">
        <v>51</v>
      </c>
      <c r="B481" s="13" t="s">
        <v>1620</v>
      </c>
      <c r="C481" s="36">
        <v>1</v>
      </c>
      <c r="D481" s="14">
        <v>0</v>
      </c>
      <c r="E481" s="14">
        <v>51963.28</v>
      </c>
    </row>
    <row r="482" spans="1:5" x14ac:dyDescent="0.3">
      <c r="A482" s="13" t="s">
        <v>51</v>
      </c>
      <c r="B482" s="13" t="s">
        <v>1621</v>
      </c>
      <c r="C482" s="36">
        <v>1</v>
      </c>
      <c r="D482" s="14">
        <v>0</v>
      </c>
      <c r="E482" s="14">
        <v>101094</v>
      </c>
    </row>
    <row r="483" spans="1:5" x14ac:dyDescent="0.3">
      <c r="A483" s="13" t="s">
        <v>51</v>
      </c>
      <c r="B483" s="13" t="s">
        <v>1622</v>
      </c>
      <c r="C483" s="36">
        <v>1</v>
      </c>
      <c r="D483" s="14">
        <v>0</v>
      </c>
      <c r="E483" s="14">
        <v>1176895.48</v>
      </c>
    </row>
    <row r="484" spans="1:5" x14ac:dyDescent="0.3">
      <c r="A484" s="13" t="s">
        <v>51</v>
      </c>
      <c r="B484" s="13" t="s">
        <v>1623</v>
      </c>
      <c r="C484" s="36">
        <v>1</v>
      </c>
      <c r="D484" s="14">
        <v>0</v>
      </c>
      <c r="E484" s="14">
        <v>128041.62</v>
      </c>
    </row>
    <row r="485" spans="1:5" x14ac:dyDescent="0.3">
      <c r="A485" s="13" t="s">
        <v>51</v>
      </c>
      <c r="B485" s="13" t="s">
        <v>1624</v>
      </c>
      <c r="C485" s="36">
        <v>1</v>
      </c>
      <c r="D485" s="14">
        <v>0</v>
      </c>
      <c r="E485" s="14">
        <v>855779.96</v>
      </c>
    </row>
    <row r="486" spans="1:5" x14ac:dyDescent="0.3">
      <c r="A486" s="13" t="s">
        <v>51</v>
      </c>
      <c r="B486" s="13" t="s">
        <v>1625</v>
      </c>
      <c r="C486" s="36">
        <v>1</v>
      </c>
      <c r="D486" s="14">
        <v>0</v>
      </c>
      <c r="E486" s="14">
        <v>308187</v>
      </c>
    </row>
    <row r="487" spans="1:5" x14ac:dyDescent="0.3">
      <c r="A487" s="13" t="s">
        <v>51</v>
      </c>
      <c r="B487" s="13" t="s">
        <v>1626</v>
      </c>
      <c r="C487" s="36">
        <v>1</v>
      </c>
      <c r="D487" s="14">
        <v>0</v>
      </c>
      <c r="E487" s="14">
        <v>1500000</v>
      </c>
    </row>
    <row r="488" spans="1:5" x14ac:dyDescent="0.3">
      <c r="A488" s="13" t="s">
        <v>51</v>
      </c>
      <c r="B488" s="13" t="s">
        <v>1627</v>
      </c>
      <c r="C488" s="36">
        <v>1</v>
      </c>
      <c r="D488" s="14">
        <v>0</v>
      </c>
      <c r="E488" s="14">
        <v>3000000</v>
      </c>
    </row>
    <row r="489" spans="1:5" x14ac:dyDescent="0.3">
      <c r="A489" s="13" t="s">
        <v>51</v>
      </c>
      <c r="B489" s="13" t="s">
        <v>1628</v>
      </c>
      <c r="C489" s="36">
        <v>1</v>
      </c>
      <c r="D489" s="14">
        <v>0</v>
      </c>
      <c r="E489" s="14">
        <v>15000000</v>
      </c>
    </row>
    <row r="490" spans="1:5" x14ac:dyDescent="0.3">
      <c r="A490" s="13" t="s">
        <v>51</v>
      </c>
      <c r="B490" s="13" t="s">
        <v>1629</v>
      </c>
      <c r="C490" s="36">
        <v>1</v>
      </c>
      <c r="D490" s="14">
        <v>0</v>
      </c>
      <c r="E490" s="14">
        <v>470220.6</v>
      </c>
    </row>
    <row r="491" spans="1:5" x14ac:dyDescent="0.3">
      <c r="A491" s="13" t="s">
        <v>51</v>
      </c>
      <c r="B491" s="13" t="s">
        <v>1630</v>
      </c>
      <c r="C491" s="36">
        <v>1</v>
      </c>
      <c r="D491" s="14">
        <v>0</v>
      </c>
      <c r="E491" s="14">
        <v>182655.55</v>
      </c>
    </row>
    <row r="492" spans="1:5" x14ac:dyDescent="0.3">
      <c r="A492" s="13" t="s">
        <v>51</v>
      </c>
      <c r="B492" s="13" t="s">
        <v>1631</v>
      </c>
      <c r="C492" s="36">
        <v>1</v>
      </c>
      <c r="D492" s="14">
        <v>0</v>
      </c>
      <c r="E492" s="14">
        <v>257875.59</v>
      </c>
    </row>
    <row r="493" spans="1:5" x14ac:dyDescent="0.3">
      <c r="A493" s="13" t="s">
        <v>51</v>
      </c>
      <c r="B493" s="13" t="s">
        <v>1632</v>
      </c>
      <c r="C493" s="36">
        <v>1</v>
      </c>
      <c r="D493" s="14">
        <v>0</v>
      </c>
      <c r="E493" s="14">
        <v>89991.03</v>
      </c>
    </row>
    <row r="494" spans="1:5" x14ac:dyDescent="0.3">
      <c r="A494" s="13" t="s">
        <v>51</v>
      </c>
      <c r="B494" s="13" t="s">
        <v>1633</v>
      </c>
      <c r="C494" s="36">
        <v>1</v>
      </c>
      <c r="D494" s="14">
        <v>0</v>
      </c>
      <c r="E494" s="14">
        <v>1000000</v>
      </c>
    </row>
    <row r="495" spans="1:5" x14ac:dyDescent="0.3">
      <c r="A495" s="13" t="s">
        <v>51</v>
      </c>
      <c r="B495" s="13" t="s">
        <v>1634</v>
      </c>
      <c r="C495" s="36">
        <v>1</v>
      </c>
      <c r="D495" s="14">
        <v>0</v>
      </c>
      <c r="E495" s="14">
        <v>1691644.5</v>
      </c>
    </row>
    <row r="496" spans="1:5" x14ac:dyDescent="0.3">
      <c r="A496" s="13" t="s">
        <v>51</v>
      </c>
      <c r="B496" s="13" t="s">
        <v>1635</v>
      </c>
      <c r="C496" s="36">
        <v>1</v>
      </c>
      <c r="D496" s="14">
        <v>0</v>
      </c>
      <c r="E496" s="14">
        <v>324739.8</v>
      </c>
    </row>
    <row r="497" spans="1:5" x14ac:dyDescent="0.3">
      <c r="A497" s="13" t="s">
        <v>51</v>
      </c>
      <c r="B497" s="13" t="s">
        <v>1636</v>
      </c>
      <c r="C497" s="36">
        <v>1</v>
      </c>
      <c r="D497" s="14">
        <v>0</v>
      </c>
      <c r="E497" s="14">
        <v>508388.4</v>
      </c>
    </row>
    <row r="498" spans="1:5" x14ac:dyDescent="0.3">
      <c r="A498" s="13" t="s">
        <v>51</v>
      </c>
      <c r="B498" s="13" t="s">
        <v>1637</v>
      </c>
      <c r="C498" s="36">
        <v>1</v>
      </c>
      <c r="D498" s="14">
        <v>0</v>
      </c>
      <c r="E498" s="14">
        <v>568430.80000000005</v>
      </c>
    </row>
    <row r="499" spans="1:5" x14ac:dyDescent="0.3">
      <c r="A499" s="13" t="s">
        <v>51</v>
      </c>
      <c r="B499" s="13" t="s">
        <v>1638</v>
      </c>
      <c r="C499" s="36">
        <v>1</v>
      </c>
      <c r="D499" s="14">
        <v>0</v>
      </c>
      <c r="E499" s="14">
        <v>388985.59999999998</v>
      </c>
    </row>
    <row r="500" spans="1:5" x14ac:dyDescent="0.3">
      <c r="A500" s="13" t="s">
        <v>51</v>
      </c>
      <c r="B500" s="13" t="s">
        <v>1639</v>
      </c>
      <c r="C500" s="36">
        <v>1</v>
      </c>
      <c r="D500" s="14">
        <v>0</v>
      </c>
      <c r="E500" s="14">
        <v>1647720.94</v>
      </c>
    </row>
    <row r="501" spans="1:5" x14ac:dyDescent="0.3">
      <c r="A501" s="13" t="s">
        <v>51</v>
      </c>
      <c r="B501" s="13" t="s">
        <v>1640</v>
      </c>
      <c r="C501" s="36">
        <v>1</v>
      </c>
      <c r="D501" s="14">
        <v>0</v>
      </c>
      <c r="E501" s="14">
        <v>2000000</v>
      </c>
    </row>
    <row r="502" spans="1:5" x14ac:dyDescent="0.3">
      <c r="A502" s="13" t="s">
        <v>51</v>
      </c>
      <c r="B502" s="13" t="s">
        <v>1641</v>
      </c>
      <c r="C502" s="36">
        <v>1</v>
      </c>
      <c r="D502" s="14">
        <v>0</v>
      </c>
      <c r="E502" s="14">
        <v>64999999.990000002</v>
      </c>
    </row>
    <row r="503" spans="1:5" x14ac:dyDescent="0.3">
      <c r="A503" s="13" t="s">
        <v>63</v>
      </c>
      <c r="B503" s="13" t="s">
        <v>1642</v>
      </c>
      <c r="C503" s="36">
        <v>1</v>
      </c>
      <c r="D503" s="14">
        <v>815844.94</v>
      </c>
      <c r="E503" s="14">
        <v>0</v>
      </c>
    </row>
    <row r="504" spans="1:5" x14ac:dyDescent="0.3">
      <c r="A504" s="13" t="s">
        <v>35</v>
      </c>
      <c r="B504" s="13" t="s">
        <v>1643</v>
      </c>
      <c r="C504" s="36">
        <v>8</v>
      </c>
      <c r="D504" s="14">
        <v>9090.99</v>
      </c>
      <c r="E504" s="14">
        <v>0</v>
      </c>
    </row>
    <row r="505" spans="1:5" x14ac:dyDescent="0.3">
      <c r="A505" s="13" t="s">
        <v>28</v>
      </c>
      <c r="B505" s="13" t="s">
        <v>1644</v>
      </c>
      <c r="C505" s="36">
        <v>1</v>
      </c>
      <c r="D505" s="14">
        <v>122859.01</v>
      </c>
      <c r="E505" s="14">
        <v>0</v>
      </c>
    </row>
    <row r="506" spans="1:5" x14ac:dyDescent="0.3">
      <c r="A506" s="13" t="s">
        <v>28</v>
      </c>
      <c r="B506" s="13" t="s">
        <v>1645</v>
      </c>
      <c r="C506" s="36">
        <v>1</v>
      </c>
      <c r="D506" s="14">
        <v>22690.3</v>
      </c>
      <c r="E506" s="14">
        <v>0</v>
      </c>
    </row>
    <row r="507" spans="1:5" x14ac:dyDescent="0.3">
      <c r="A507" s="13" t="s">
        <v>28</v>
      </c>
      <c r="B507" s="13" t="s">
        <v>1646</v>
      </c>
      <c r="C507" s="36">
        <v>1</v>
      </c>
      <c r="D507" s="14">
        <v>20501.189999999999</v>
      </c>
      <c r="E507" s="14">
        <v>0</v>
      </c>
    </row>
    <row r="508" spans="1:5" x14ac:dyDescent="0.3">
      <c r="A508" s="13" t="s">
        <v>28</v>
      </c>
      <c r="B508" s="13" t="s">
        <v>1647</v>
      </c>
      <c r="C508" s="36">
        <v>1</v>
      </c>
      <c r="D508" s="14">
        <v>19530.04</v>
      </c>
      <c r="E508" s="14">
        <v>0</v>
      </c>
    </row>
    <row r="509" spans="1:5" x14ac:dyDescent="0.3">
      <c r="A509" s="13" t="s">
        <v>28</v>
      </c>
      <c r="B509" s="13" t="s">
        <v>1648</v>
      </c>
      <c r="C509" s="36">
        <v>1</v>
      </c>
      <c r="D509" s="14">
        <v>9823.64</v>
      </c>
      <c r="E509" s="14">
        <v>0</v>
      </c>
    </row>
    <row r="510" spans="1:5" x14ac:dyDescent="0.3">
      <c r="A510" s="13" t="s">
        <v>28</v>
      </c>
      <c r="B510" s="13" t="s">
        <v>1649</v>
      </c>
      <c r="C510" s="36">
        <v>1</v>
      </c>
      <c r="D510" s="14">
        <v>8158.1</v>
      </c>
      <c r="E510" s="14">
        <v>0</v>
      </c>
    </row>
    <row r="511" spans="1:5" x14ac:dyDescent="0.3">
      <c r="A511" s="13" t="s">
        <v>28</v>
      </c>
      <c r="B511" s="13" t="s">
        <v>1650</v>
      </c>
      <c r="C511" s="36">
        <v>1</v>
      </c>
      <c r="D511" s="14">
        <v>7938.68</v>
      </c>
      <c r="E511" s="14">
        <v>0</v>
      </c>
    </row>
    <row r="512" spans="1:5" x14ac:dyDescent="0.3">
      <c r="A512" s="13" t="s">
        <v>28</v>
      </c>
      <c r="B512" s="13" t="s">
        <v>1651</v>
      </c>
      <c r="C512" s="36">
        <v>1</v>
      </c>
      <c r="D512" s="14">
        <v>5754.7</v>
      </c>
      <c r="E512" s="14">
        <v>0</v>
      </c>
    </row>
    <row r="513" spans="1:5" x14ac:dyDescent="0.3">
      <c r="A513" s="13" t="s">
        <v>28</v>
      </c>
      <c r="B513" s="13" t="s">
        <v>1652</v>
      </c>
      <c r="C513" s="36">
        <v>1</v>
      </c>
      <c r="D513" s="14">
        <v>5183.8999999999996</v>
      </c>
      <c r="E513" s="14">
        <v>0</v>
      </c>
    </row>
    <row r="514" spans="1:5" x14ac:dyDescent="0.3">
      <c r="A514" s="13" t="s">
        <v>28</v>
      </c>
      <c r="B514" s="13" t="s">
        <v>1653</v>
      </c>
      <c r="C514" s="36">
        <v>1</v>
      </c>
      <c r="D514" s="14">
        <v>4609.7299999999996</v>
      </c>
      <c r="E514" s="14">
        <v>0</v>
      </c>
    </row>
    <row r="515" spans="1:5" x14ac:dyDescent="0.3">
      <c r="A515" s="13" t="s">
        <v>28</v>
      </c>
      <c r="B515" s="13" t="s">
        <v>1654</v>
      </c>
      <c r="C515" s="36">
        <v>1</v>
      </c>
      <c r="D515" s="14">
        <v>4093.28</v>
      </c>
      <c r="E515" s="14">
        <v>0</v>
      </c>
    </row>
    <row r="516" spans="1:5" x14ac:dyDescent="0.3">
      <c r="A516" s="13" t="s">
        <v>28</v>
      </c>
      <c r="B516" s="13" t="s">
        <v>1655</v>
      </c>
      <c r="C516" s="36">
        <v>1</v>
      </c>
      <c r="D516" s="14">
        <v>3668.82</v>
      </c>
      <c r="E516" s="14">
        <v>0</v>
      </c>
    </row>
    <row r="517" spans="1:5" x14ac:dyDescent="0.3">
      <c r="A517" s="13" t="s">
        <v>28</v>
      </c>
      <c r="B517" s="13" t="s">
        <v>1656</v>
      </c>
      <c r="C517" s="36">
        <v>1</v>
      </c>
      <c r="D517" s="14">
        <v>3368.53</v>
      </c>
      <c r="E517" s="14">
        <v>0</v>
      </c>
    </row>
    <row r="518" spans="1:5" x14ac:dyDescent="0.3">
      <c r="A518" s="13" t="s">
        <v>28</v>
      </c>
      <c r="B518" s="13" t="s">
        <v>1657</v>
      </c>
      <c r="C518" s="36">
        <v>1</v>
      </c>
      <c r="D518" s="14">
        <v>3270.15</v>
      </c>
      <c r="E518" s="14">
        <v>0</v>
      </c>
    </row>
    <row r="519" spans="1:5" x14ac:dyDescent="0.3">
      <c r="A519" s="13" t="s">
        <v>28</v>
      </c>
      <c r="B519" s="13" t="s">
        <v>1658</v>
      </c>
      <c r="C519" s="36">
        <v>1</v>
      </c>
      <c r="D519" s="14">
        <v>3199.17</v>
      </c>
      <c r="E519" s="14">
        <v>0</v>
      </c>
    </row>
    <row r="520" spans="1:5" x14ac:dyDescent="0.3">
      <c r="A520" s="13" t="s">
        <v>28</v>
      </c>
      <c r="B520" s="13" t="s">
        <v>1659</v>
      </c>
      <c r="C520" s="36">
        <v>1</v>
      </c>
      <c r="D520" s="14">
        <v>3029.96</v>
      </c>
      <c r="E520" s="14">
        <v>0</v>
      </c>
    </row>
    <row r="521" spans="1:5" x14ac:dyDescent="0.3">
      <c r="A521" s="13" t="s">
        <v>28</v>
      </c>
      <c r="B521" s="13" t="s">
        <v>1660</v>
      </c>
      <c r="C521" s="36">
        <v>1</v>
      </c>
      <c r="D521" s="14">
        <v>2755.01</v>
      </c>
      <c r="E521" s="14">
        <v>0</v>
      </c>
    </row>
    <row r="522" spans="1:5" x14ac:dyDescent="0.3">
      <c r="A522" s="13" t="s">
        <v>28</v>
      </c>
      <c r="B522" s="13" t="s">
        <v>1661</v>
      </c>
      <c r="C522" s="36">
        <v>1</v>
      </c>
      <c r="D522" s="14">
        <v>1958.8</v>
      </c>
      <c r="E522" s="14">
        <v>0</v>
      </c>
    </row>
    <row r="523" spans="1:5" x14ac:dyDescent="0.3">
      <c r="A523" s="13" t="s">
        <v>28</v>
      </c>
      <c r="B523" s="13" t="s">
        <v>1662</v>
      </c>
      <c r="C523" s="36">
        <v>1</v>
      </c>
      <c r="D523" s="14">
        <v>1740.88</v>
      </c>
      <c r="E523" s="14">
        <v>0</v>
      </c>
    </row>
    <row r="524" spans="1:5" x14ac:dyDescent="0.3">
      <c r="A524" s="13" t="s">
        <v>28</v>
      </c>
      <c r="B524" s="13" t="s">
        <v>1663</v>
      </c>
      <c r="C524" s="36">
        <v>1</v>
      </c>
      <c r="D524" s="14">
        <v>78.44</v>
      </c>
      <c r="E524" s="14">
        <v>0</v>
      </c>
    </row>
    <row r="525" spans="1:5" x14ac:dyDescent="0.3">
      <c r="A525" s="13" t="s">
        <v>26</v>
      </c>
      <c r="B525" s="13" t="s">
        <v>1664</v>
      </c>
      <c r="C525" s="36">
        <v>1</v>
      </c>
      <c r="D525" s="14">
        <v>1255788.55</v>
      </c>
      <c r="E525" s="14">
        <v>0</v>
      </c>
    </row>
    <row r="526" spans="1:5" x14ac:dyDescent="0.3">
      <c r="A526" s="13" t="s">
        <v>26</v>
      </c>
      <c r="B526" s="13" t="s">
        <v>1665</v>
      </c>
      <c r="C526" s="36">
        <v>1</v>
      </c>
      <c r="D526" s="14">
        <v>267612.18</v>
      </c>
      <c r="E526" s="14">
        <v>0</v>
      </c>
    </row>
    <row r="527" spans="1:5" x14ac:dyDescent="0.3">
      <c r="A527" s="13" t="s">
        <v>26</v>
      </c>
      <c r="B527" s="13" t="s">
        <v>1666</v>
      </c>
      <c r="C527" s="36">
        <v>1</v>
      </c>
      <c r="D527" s="14">
        <v>214944.88</v>
      </c>
      <c r="E527" s="14">
        <v>0</v>
      </c>
    </row>
    <row r="528" spans="1:5" x14ac:dyDescent="0.3">
      <c r="A528" s="13" t="s">
        <v>26</v>
      </c>
      <c r="B528" s="13" t="s">
        <v>1667</v>
      </c>
      <c r="C528" s="36">
        <v>1</v>
      </c>
      <c r="D528" s="14">
        <v>206816.45</v>
      </c>
      <c r="E528" s="14">
        <v>0</v>
      </c>
    </row>
    <row r="529" spans="1:5" x14ac:dyDescent="0.3">
      <c r="A529" s="13" t="s">
        <v>26</v>
      </c>
      <c r="B529" s="13" t="s">
        <v>1668</v>
      </c>
      <c r="C529" s="36">
        <v>1</v>
      </c>
      <c r="D529" s="14">
        <v>106622.81</v>
      </c>
      <c r="E529" s="14">
        <v>0</v>
      </c>
    </row>
    <row r="530" spans="1:5" x14ac:dyDescent="0.3">
      <c r="A530" s="13" t="s">
        <v>26</v>
      </c>
      <c r="B530" s="13" t="s">
        <v>1669</v>
      </c>
      <c r="C530" s="36">
        <v>1</v>
      </c>
      <c r="D530" s="14">
        <v>83847.199999999997</v>
      </c>
      <c r="E530" s="14">
        <v>0</v>
      </c>
    </row>
    <row r="531" spans="1:5" x14ac:dyDescent="0.3">
      <c r="A531" s="13" t="s">
        <v>26</v>
      </c>
      <c r="B531" s="13" t="s">
        <v>1670</v>
      </c>
      <c r="C531" s="36">
        <v>1</v>
      </c>
      <c r="D531" s="14">
        <v>81646.66</v>
      </c>
      <c r="E531" s="14">
        <v>0</v>
      </c>
    </row>
    <row r="532" spans="1:5" x14ac:dyDescent="0.3">
      <c r="A532" s="13" t="s">
        <v>26</v>
      </c>
      <c r="B532" s="13" t="s">
        <v>1671</v>
      </c>
      <c r="C532" s="36">
        <v>1</v>
      </c>
      <c r="D532" s="14">
        <v>63354.76</v>
      </c>
      <c r="E532" s="14">
        <v>0</v>
      </c>
    </row>
    <row r="533" spans="1:5" x14ac:dyDescent="0.3">
      <c r="A533" s="13" t="s">
        <v>26</v>
      </c>
      <c r="B533" s="13" t="s">
        <v>1672</v>
      </c>
      <c r="C533" s="36">
        <v>1</v>
      </c>
      <c r="D533" s="14">
        <v>59553.09</v>
      </c>
      <c r="E533" s="14">
        <v>0</v>
      </c>
    </row>
    <row r="534" spans="1:5" x14ac:dyDescent="0.3">
      <c r="A534" s="13" t="s">
        <v>26</v>
      </c>
      <c r="B534" s="13" t="s">
        <v>1673</v>
      </c>
      <c r="C534" s="36">
        <v>1</v>
      </c>
      <c r="D534" s="14">
        <v>57120.93</v>
      </c>
      <c r="E534" s="14">
        <v>0</v>
      </c>
    </row>
    <row r="535" spans="1:5" x14ac:dyDescent="0.3">
      <c r="A535" s="13" t="s">
        <v>26</v>
      </c>
      <c r="B535" s="13" t="s">
        <v>1674</v>
      </c>
      <c r="C535" s="36">
        <v>1</v>
      </c>
      <c r="D535" s="14">
        <v>54198.61</v>
      </c>
      <c r="E535" s="14">
        <v>0</v>
      </c>
    </row>
    <row r="536" spans="1:5" x14ac:dyDescent="0.3">
      <c r="A536" s="13" t="s">
        <v>26</v>
      </c>
      <c r="B536" s="13" t="s">
        <v>1675</v>
      </c>
      <c r="C536" s="36">
        <v>1</v>
      </c>
      <c r="D536" s="14">
        <v>48690.65</v>
      </c>
      <c r="E536" s="14">
        <v>0</v>
      </c>
    </row>
    <row r="537" spans="1:5" x14ac:dyDescent="0.3">
      <c r="A537" s="13" t="s">
        <v>26</v>
      </c>
      <c r="B537" s="13" t="s">
        <v>1676</v>
      </c>
      <c r="C537" s="36">
        <v>1</v>
      </c>
      <c r="D537" s="14">
        <v>48035.71</v>
      </c>
      <c r="E537" s="14">
        <v>0</v>
      </c>
    </row>
    <row r="538" spans="1:5" x14ac:dyDescent="0.3">
      <c r="A538" s="13" t="s">
        <v>26</v>
      </c>
      <c r="B538" s="13" t="s">
        <v>1677</v>
      </c>
      <c r="C538" s="36">
        <v>1</v>
      </c>
      <c r="D538" s="14">
        <v>47495.65</v>
      </c>
      <c r="E538" s="14">
        <v>0</v>
      </c>
    </row>
    <row r="539" spans="1:5" x14ac:dyDescent="0.3">
      <c r="A539" s="13" t="s">
        <v>26</v>
      </c>
      <c r="B539" s="13" t="s">
        <v>1678</v>
      </c>
      <c r="C539" s="36">
        <v>1</v>
      </c>
      <c r="D539" s="14">
        <v>39976.92</v>
      </c>
      <c r="E539" s="14">
        <v>0</v>
      </c>
    </row>
    <row r="540" spans="1:5" x14ac:dyDescent="0.3">
      <c r="A540" s="13" t="s">
        <v>26</v>
      </c>
      <c r="B540" s="13" t="s">
        <v>1679</v>
      </c>
      <c r="C540" s="36">
        <v>1</v>
      </c>
      <c r="D540" s="14">
        <v>38659.15</v>
      </c>
      <c r="E540" s="14">
        <v>0</v>
      </c>
    </row>
    <row r="541" spans="1:5" x14ac:dyDescent="0.3">
      <c r="A541" s="13" t="s">
        <v>26</v>
      </c>
      <c r="B541" s="13" t="s">
        <v>1680</v>
      </c>
      <c r="C541" s="36">
        <v>1</v>
      </c>
      <c r="D541" s="14">
        <v>33950.29</v>
      </c>
      <c r="E541" s="14">
        <v>0</v>
      </c>
    </row>
    <row r="542" spans="1:5" x14ac:dyDescent="0.3">
      <c r="A542" s="13" t="s">
        <v>26</v>
      </c>
      <c r="B542" s="13" t="s">
        <v>1681</v>
      </c>
      <c r="C542" s="36">
        <v>1</v>
      </c>
      <c r="D542" s="14">
        <v>33159.54</v>
      </c>
      <c r="E542" s="14">
        <v>0</v>
      </c>
    </row>
    <row r="543" spans="1:5" x14ac:dyDescent="0.3">
      <c r="A543" s="13" t="s">
        <v>26</v>
      </c>
      <c r="B543" s="13" t="s">
        <v>1682</v>
      </c>
      <c r="C543" s="36">
        <v>1</v>
      </c>
      <c r="D543" s="14">
        <v>17866.68</v>
      </c>
      <c r="E543" s="14">
        <v>0</v>
      </c>
    </row>
    <row r="544" spans="1:5" x14ac:dyDescent="0.3">
      <c r="A544" s="13" t="s">
        <v>26</v>
      </c>
      <c r="B544" s="13" t="s">
        <v>1683</v>
      </c>
      <c r="C544" s="36">
        <v>1</v>
      </c>
      <c r="D544" s="14">
        <v>3698.36</v>
      </c>
      <c r="E544" s="14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1. Auditoría Banco</vt:lpstr>
      <vt:lpstr>2. Auditoría Sistema</vt:lpstr>
      <vt:lpstr>3. Detalle Impuestos</vt:lpstr>
      <vt:lpstr>4. Conciliación</vt:lpstr>
      <vt:lpstr>5. Conceptos Agrupados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2026-04-19T03:49:52Z</dcterms:created>
  <dcterms:modified xsi:type="dcterms:W3CDTF">2026-04-19T03:51:10Z</dcterms:modified>
</cp:coreProperties>
</file>