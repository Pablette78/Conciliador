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1. Auditoría Banco" sheetId="2" state="visible" r:id="rId2"/>
    <sheet name="2. Auditoría Sistema" sheetId="3" state="visible" r:id="rId3"/>
    <sheet name="3. Detalle Impuestos" sheetId="4" state="visible" r:id="rId4"/>
    <sheet name="4. Conciliación" sheetId="5" state="visible" r:id="rId5"/>
    <sheet name="5. Conceptos Agrupa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8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0"/>
    </font>
    <font>
      <name val="Arial"/>
      <b val="1"/>
      <sz val="11"/>
    </font>
    <font>
      <name val="Arial"/>
      <sz val="11"/>
    </font>
    <font>
      <name val="Arial"/>
      <b val="1"/>
      <color rgb="00C00000"/>
      <sz val="11"/>
    </font>
    <font>
      <name val="Arial"/>
      <b val="1"/>
      <color rgb="002F5496"/>
      <sz val="12"/>
    </font>
    <font>
      <name val="Arial"/>
      <sz val="10"/>
    </font>
    <font>
      <name val="Arial"/>
      <color rgb="00888888"/>
      <sz val="9"/>
    </font>
    <font>
      <name val="Arial"/>
      <b val="1"/>
      <sz val="10"/>
    </font>
    <font>
      <name val="Arial"/>
      <b val="1"/>
      <color rgb="002F5496"/>
      <sz val="11"/>
    </font>
    <font>
      <name val="Arial"/>
      <b val="1"/>
      <color rgb="00FFFFFF"/>
      <sz val="11"/>
    </font>
    <font>
      <name val="Arial"/>
      <i val="1"/>
      <color rgb="00C00000"/>
      <sz val="9"/>
    </font>
    <font>
      <name val="Arial"/>
      <b val="1"/>
      <color rgb="002F5496"/>
      <sz val="14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i val="1"/>
      <color rgb="007030A0"/>
      <sz val="10"/>
    </font>
    <font>
      <name val="Arial"/>
      <b val="1"/>
      <color rgb="00C00000"/>
      <sz val="12"/>
    </font>
  </fonts>
  <fills count="11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DDEEFF"/>
      </patternFill>
    </fill>
    <fill>
      <patternFill patternType="solid">
        <fgColor rgb="00FF0000"/>
      </patternFill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4" fontId="3" fillId="2" borderId="1" pivotButton="0" quotePrefix="0" xfId="0"/>
    <xf numFmtId="0" fontId="10" fillId="5" borderId="1" applyAlignment="1" pivotButton="0" quotePrefix="0" xfId="0">
      <alignment horizontal="center"/>
    </xf>
    <xf numFmtId="0" fontId="4" fillId="0" borderId="1" pivotButton="0" quotePrefix="0" xfId="0"/>
    <xf numFmtId="4" fontId="4" fillId="0" borderId="1" pivotButton="0" quotePrefix="0" xfId="0"/>
    <xf numFmtId="0" fontId="7" fillId="5" borderId="1" pivotButton="0" quotePrefix="0" xfId="0"/>
    <xf numFmtId="4" fontId="7" fillId="5" borderId="1" pivotButton="0" quotePrefix="0" xfId="0"/>
    <xf numFmtId="0" fontId="3" fillId="5" borderId="1" pivotButton="0" quotePrefix="0" xfId="0"/>
    <xf numFmtId="4" fontId="11" fillId="6" borderId="1" pivotButton="0" quotePrefix="0" xfId="0"/>
    <xf numFmtId="0" fontId="12" fillId="0" borderId="0" pivotButton="0" quotePrefix="0" xfId="0"/>
    <xf numFmtId="4" fontId="3" fillId="3" borderId="1" pivotButton="0" quotePrefix="0" xfId="0"/>
    <xf numFmtId="0" fontId="5" fillId="3" borderId="1" pivotButton="0" quotePrefix="0" xfId="0"/>
    <xf numFmtId="4" fontId="5" fillId="3" borderId="1" pivotButton="0" quotePrefix="0" xfId="0"/>
    <xf numFmtId="0" fontId="6" fillId="0" borderId="0" pivotButton="0" quotePrefix="0" xfId="0"/>
    <xf numFmtId="0" fontId="7" fillId="0" borderId="1" pivotButton="0" quotePrefix="0" xfId="0"/>
    <xf numFmtId="4" fontId="7" fillId="0" borderId="1" pivotButton="0" quotePrefix="0" xfId="0"/>
    <xf numFmtId="0" fontId="8" fillId="0" borderId="0" pivotButton="0" quotePrefix="0" xfId="0"/>
    <xf numFmtId="0" fontId="9" fillId="4" borderId="1" pivotButton="0" quotePrefix="0" xfId="0"/>
    <xf numFmtId="4" fontId="9" fillId="4" borderId="1" pivotButton="0" quotePrefix="0" xfId="0"/>
    <xf numFmtId="0" fontId="13" fillId="0" borderId="0" pivotButton="0" quotePrefix="0" xfId="0"/>
    <xf numFmtId="0" fontId="9" fillId="0" borderId="1" pivotButton="0" quotePrefix="0" xfId="0"/>
    <xf numFmtId="4" fontId="9" fillId="3" borderId="1" pivotButton="0" quotePrefix="0" xfId="0"/>
    <xf numFmtId="0" fontId="14" fillId="7" borderId="1" applyAlignment="1" pivotButton="0" quotePrefix="0" xfId="0">
      <alignment horizontal="center"/>
    </xf>
    <xf numFmtId="165" fontId="7" fillId="0" borderId="1" pivotButton="0" quotePrefix="0" xfId="0"/>
    <xf numFmtId="0" fontId="0" fillId="0" borderId="1" pivotButton="0" quotePrefix="0" xfId="0"/>
    <xf numFmtId="0" fontId="9" fillId="3" borderId="1" pivotButton="0" quotePrefix="0" xfId="0"/>
    <xf numFmtId="0" fontId="15" fillId="7" borderId="0" pivotButton="0" quotePrefix="0" xfId="0"/>
    <xf numFmtId="0" fontId="16" fillId="0" borderId="0" applyAlignment="1" pivotButton="0" quotePrefix="0" xfId="0">
      <alignment horizontal="center"/>
    </xf>
    <xf numFmtId="0" fontId="17" fillId="0" borderId="0" pivotButton="0" quotePrefix="0" xfId="0"/>
    <xf numFmtId="165" fontId="7" fillId="8" borderId="1" pivotButton="0" quotePrefix="0" xfId="0"/>
    <xf numFmtId="0" fontId="7" fillId="8" borderId="1" pivotButton="0" quotePrefix="0" xfId="0"/>
    <xf numFmtId="4" fontId="7" fillId="8" borderId="1" pivotButton="0" quotePrefix="0" xfId="0"/>
    <xf numFmtId="0" fontId="7" fillId="9" borderId="1" pivotButton="0" quotePrefix="0" xfId="0"/>
    <xf numFmtId="165" fontId="7" fillId="10" borderId="1" pivotButton="0" quotePrefix="0" xfId="0"/>
    <xf numFmtId="4" fontId="7" fillId="10" borderId="1" pivotButton="0" quotePrefix="0" xfId="0"/>
    <xf numFmtId="0" fontId="7" fillId="10" borderId="1" pivotButton="0" quotePrefix="0" xfId="0"/>
    <xf numFmtId="4" fontId="7" fillId="9" borderId="1" pivotButton="0" quotePrefix="0" xfId="0"/>
    <xf numFmtId="0" fontId="5" fillId="0" borderId="0" pivotButton="0" quotePrefix="0" xfId="0"/>
    <xf numFmtId="165" fontId="7" fillId="9" borderId="1" pivotButton="0" quotePrefix="0" xfId="0"/>
    <xf numFmtId="4" fontId="0" fillId="3" borderId="1" pivotButton="0" quotePrefix="0" xfId="0"/>
    <xf numFmtId="0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8" customWidth="1" min="3" max="3"/>
    <col width="18" customWidth="1" min="4" max="4"/>
    <col width="16" customWidth="1" min="5" max="5"/>
    <col width="16" customWidth="1" min="6" max="6"/>
    <col width="24" customWidth="1" min="7" max="7"/>
  </cols>
  <sheetData>
    <row r="1">
      <c r="A1" s="1" t="inlineStr">
        <is>
          <t>RESUMEN CONCILIACIÓN - Mar2026</t>
        </is>
      </c>
    </row>
    <row r="2">
      <c r="A2" s="2" t="inlineStr">
        <is>
          <t>INSTRUMENTAL PASTEUR SRL Desde: 28/02/26</t>
        </is>
      </c>
    </row>
    <row r="4">
      <c r="A4" s="3" t="inlineStr">
        <is>
          <t>Saldo Anterior s/ Banco</t>
        </is>
      </c>
      <c r="B4" s="4" t="n">
        <v>5622491.49</v>
      </c>
      <c r="D4" s="5" t="inlineStr">
        <is>
          <t>Estado de la descarga del Extracto.</t>
        </is>
      </c>
    </row>
    <row r="5">
      <c r="A5" s="6" t="inlineStr">
        <is>
          <t>(+) Total Debe Mayor Sistema</t>
        </is>
      </c>
      <c r="B5" s="7" t="n">
        <v>399761267.05</v>
      </c>
      <c r="D5" s="8" t="inlineStr">
        <is>
          <t>Saldo inicio</t>
        </is>
      </c>
      <c r="E5" s="9" t="n">
        <v>5622491.49</v>
      </c>
    </row>
    <row r="6">
      <c r="A6" s="6" t="inlineStr">
        <is>
          <t>(-) Total Haber Mayor Sistema</t>
        </is>
      </c>
      <c r="B6" s="7" t="n">
        <v>374208303.23</v>
      </c>
      <c r="D6" s="8" t="inlineStr">
        <is>
          <t>Créditos</t>
        </is>
      </c>
      <c r="E6" s="9" t="n">
        <v>473030433.64</v>
      </c>
    </row>
    <row r="7">
      <c r="A7" s="3" t="inlineStr">
        <is>
          <t>(=) Saldo Final Calculado</t>
        </is>
      </c>
      <c r="B7" s="4" t="n">
        <v>34287194.26</v>
      </c>
      <c r="D7" s="8" t="inlineStr">
        <is>
          <t>Débitos</t>
        </is>
      </c>
      <c r="E7" s="9" t="n">
        <v>444365730.87</v>
      </c>
    </row>
    <row r="8">
      <c r="A8" s="6" t="inlineStr">
        <is>
          <t>Crédito Banco no conciliado</t>
        </is>
      </c>
      <c r="B8" s="7" t="n">
        <v>32971649.84</v>
      </c>
      <c r="D8" s="8" t="inlineStr">
        <is>
          <t>Saldo final</t>
        </is>
      </c>
      <c r="E8" s="9" t="n">
        <v>2692160.82</v>
      </c>
    </row>
    <row r="9">
      <c r="A9" s="6" t="inlineStr">
        <is>
          <t>Débito Banco no conciliado</t>
        </is>
      </c>
      <c r="B9" s="7" t="n">
        <v>104728085.38</v>
      </c>
      <c r="D9" s="10" t="inlineStr">
        <is>
          <t>Control</t>
        </is>
      </c>
      <c r="E9" s="11" t="n">
        <v>31595033.44</v>
      </c>
      <c r="G9" s="12" t="inlineStr">
        <is>
          <t>* Debe ser Cero.</t>
        </is>
      </c>
    </row>
    <row r="10">
      <c r="A10" s="6" t="inlineStr">
        <is>
          <t>Debe Sistema no conciliado</t>
        </is>
      </c>
      <c r="B10" s="7" t="n">
        <v>23844504.58</v>
      </c>
    </row>
    <row r="11">
      <c r="A11" s="6" t="inlineStr">
        <is>
          <t>Haber Sistema no conciliado</t>
        </is>
      </c>
      <c r="B11" s="7" t="n">
        <v>59404445.35</v>
      </c>
    </row>
    <row r="12">
      <c r="A12" s="6" t="inlineStr">
        <is>
          <t>Impuestos y Comisiones</t>
        </is>
      </c>
      <c r="B12" s="7" t="n">
        <v>5726858.99</v>
      </c>
    </row>
    <row r="13">
      <c r="B13" s="13" t="n">
        <v>-77483294.52999999</v>
      </c>
    </row>
    <row r="15">
      <c r="A15" s="3" t="inlineStr">
        <is>
          <t>Saldo Final s/ Banco (Extracto)</t>
        </is>
      </c>
      <c r="B15" s="4" t="n">
        <v>2692160.82</v>
      </c>
    </row>
    <row r="16">
      <c r="A16" s="14" t="inlineStr">
        <is>
          <t>⚠ DIFERENCIA EN SALDO FINAL</t>
        </is>
      </c>
      <c r="B16" s="15" t="n">
        <v>-31595033.44</v>
      </c>
    </row>
    <row r="18">
      <c r="A18" s="16" t="inlineStr">
        <is>
          <t>CONCILIACIÓN</t>
        </is>
      </c>
    </row>
    <row r="19">
      <c r="A19" s="17" t="inlineStr">
        <is>
          <t>Movimientos conciliados</t>
        </is>
      </c>
      <c r="B19" s="17" t="n">
        <v>327</v>
      </c>
    </row>
    <row r="20">
      <c r="A20" s="17" t="inlineStr">
        <is>
          <t>Con diferencia de monto</t>
        </is>
      </c>
      <c r="B20" s="17" t="n">
        <v>3</v>
      </c>
    </row>
    <row r="21">
      <c r="A21" s="17" t="inlineStr">
        <is>
          <t>Solo en banco (pendientes)</t>
        </is>
      </c>
      <c r="B21" s="17" t="n">
        <v>79</v>
      </c>
    </row>
    <row r="22">
      <c r="A22" s="17" t="inlineStr">
        <is>
          <t>Solo en sistema (pendientes)</t>
        </is>
      </c>
      <c r="B22" s="17" t="n">
        <v>28</v>
      </c>
    </row>
    <row r="24">
      <c r="A24" s="16" t="inlineStr">
        <is>
          <t>GASTOS BANCARIOS E IMPUESTOS</t>
        </is>
      </c>
    </row>
    <row r="25">
      <c r="A25" s="17" t="inlineStr">
        <is>
          <t>RET_SIRCREB</t>
        </is>
      </c>
      <c r="B25" s="18" t="n">
        <v>2763039.07</v>
      </c>
      <c r="C25" s="19" t="inlineStr">
        <is>
          <t>20 movimientos</t>
        </is>
      </c>
    </row>
    <row r="26">
      <c r="A26" s="17" t="inlineStr">
        <is>
          <t>RET_IIBB_TUCUMAN</t>
        </is>
      </c>
      <c r="B26" s="18" t="n">
        <v>254212.33</v>
      </c>
      <c r="C26" s="19" t="inlineStr">
        <is>
          <t>20 movimientos</t>
        </is>
      </c>
    </row>
    <row r="27">
      <c r="A27" s="17" t="inlineStr">
        <is>
          <t>LEY25413_DEBITO</t>
        </is>
      </c>
      <c r="B27" s="18" t="n">
        <v>985573.8200000001</v>
      </c>
      <c r="C27" s="19" t="inlineStr">
        <is>
          <t>21 movimientos</t>
        </is>
      </c>
    </row>
    <row r="28">
      <c r="A28" s="17" t="inlineStr">
        <is>
          <t>LEY25413_CREDITO</t>
        </is>
      </c>
      <c r="B28" s="18" t="n">
        <v>1420037.56</v>
      </c>
      <c r="C28" s="19" t="inlineStr">
        <is>
          <t>23 movimientos</t>
        </is>
      </c>
    </row>
    <row r="29">
      <c r="A29" s="17" t="inlineStr">
        <is>
          <t>COMISION</t>
        </is>
      </c>
      <c r="B29" s="18" t="n">
        <v>239074.83</v>
      </c>
      <c r="C29" s="19" t="inlineStr">
        <is>
          <t>59 movimientos</t>
        </is>
      </c>
    </row>
    <row r="30">
      <c r="A30" s="17" t="inlineStr">
        <is>
          <t>PERC_IIBB</t>
        </is>
      </c>
      <c r="B30" s="18" t="n">
        <v>9090.99</v>
      </c>
      <c r="C30" s="19" t="inlineStr">
        <is>
          <t>8 movimientos</t>
        </is>
      </c>
    </row>
    <row r="31">
      <c r="A31" s="17" t="inlineStr">
        <is>
          <t>IVA</t>
        </is>
      </c>
      <c r="B31" s="18" t="n">
        <v>55830.38999999999</v>
      </c>
      <c r="C31" s="19" t="inlineStr">
        <is>
          <t>69 movimientos</t>
        </is>
      </c>
    </row>
    <row r="32">
      <c r="A32" s="20" t="inlineStr">
        <is>
          <t>TOTAL GASTOS</t>
        </is>
      </c>
      <c r="B32" s="21" t="n">
        <v>5726858.99</v>
      </c>
    </row>
  </sheetData>
  <mergeCells count="7">
    <mergeCell ref="A1:D1"/>
    <mergeCell ref="E6:F6"/>
    <mergeCell ref="E7:F7"/>
    <mergeCell ref="E5:F5"/>
    <mergeCell ref="E9:F9"/>
    <mergeCell ref="E8:F8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2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16" customWidth="1" min="4" max="4"/>
    <col width="30" customWidth="1" min="5" max="5"/>
    <col width="24" customWidth="1" min="6" max="6"/>
  </cols>
  <sheetData>
    <row r="1">
      <c r="A1" s="22" t="inlineStr">
        <is>
          <t>AUDITORÍA: MOVIMIENTOS DETECTADOS EN BANCO - Mar2026</t>
        </is>
      </c>
    </row>
    <row r="3">
      <c r="A3" s="23" t="inlineStr">
        <is>
          <t>Saldo Anterior detectado: $ 5,622,491.49</t>
        </is>
      </c>
      <c r="D3" s="24" t="n">
        <v>5622491.49</v>
      </c>
    </row>
    <row r="5">
      <c r="A5" s="25" t="inlineStr">
        <is>
          <t>Fecha</t>
        </is>
      </c>
      <c r="B5" s="25" t="inlineStr">
        <is>
          <t>Concepto Original</t>
        </is>
      </c>
      <c r="C5" s="25" t="inlineStr">
        <is>
          <t>Débito</t>
        </is>
      </c>
      <c r="D5" s="25" t="inlineStr">
        <is>
          <t>Crédito</t>
        </is>
      </c>
      <c r="E5" s="25" t="inlineStr">
        <is>
          <t>Descripción/Ref</t>
        </is>
      </c>
      <c r="F5" s="25" t="inlineStr">
        <is>
          <t>Clasificación Motor</t>
        </is>
      </c>
    </row>
    <row r="6">
      <c r="A6" s="26" t="n">
        <v>46080</v>
      </c>
      <c r="B6" s="17" t="inlineStr">
        <is>
          <t>Regimen de recaudacion sircreb r</t>
        </is>
      </c>
      <c r="C6" s="18" t="n">
        <v>47495.65</v>
      </c>
      <c r="D6" s="17" t="n"/>
      <c r="E6" s="17" t="inlineStr">
        <is>
          <t xml:space="preserve"> Resp:30626629942 / 1,60% sobre</t>
        </is>
      </c>
      <c r="F6" s="17" t="inlineStr">
        <is>
          <t>RET_SIRCREB</t>
        </is>
      </c>
    </row>
    <row r="7">
      <c r="A7" s="26" t="n">
        <v>46080</v>
      </c>
      <c r="B7" s="17" t="inlineStr">
        <is>
          <t>Adelanto iibb tuc letra h</t>
        </is>
      </c>
      <c r="C7" s="18" t="n">
        <v>3270.15</v>
      </c>
      <c r="D7" s="17" t="n"/>
      <c r="E7" s="17" t="inlineStr">
        <is>
          <t xml:space="preserve"> Resp:30626629942 / 0,12% sobre</t>
        </is>
      </c>
      <c r="F7" s="17" t="inlineStr">
        <is>
          <t>RET_IIBB_TUCUMAN</t>
        </is>
      </c>
    </row>
    <row r="8">
      <c r="A8" s="26" t="n">
        <v>46083</v>
      </c>
      <c r="B8" s="17" t="inlineStr">
        <is>
          <t>Pago comercios getnet nro.liq.</t>
        </is>
      </c>
      <c r="C8" s="17" t="n"/>
      <c r="D8" s="18" t="n">
        <v>220378.89</v>
      </c>
      <c r="E8" s="17" t="inlineStr">
        <is>
          <t xml:space="preserve"> 00004899/000000000008581</t>
        </is>
      </c>
      <c r="F8" s="17" t="inlineStr">
        <is>
          <t>OTRO</t>
        </is>
      </c>
    </row>
    <row r="9">
      <c r="A9" s="26" t="n">
        <v>46083</v>
      </c>
      <c r="B9" s="17" t="inlineStr">
        <is>
          <t>Debito automatico</t>
        </is>
      </c>
      <c r="C9" s="18" t="n">
        <v>762181.55</v>
      </c>
      <c r="D9" s="17" t="n"/>
      <c r="E9" s="17" t="inlineStr">
        <is>
          <t xml:space="preserve"> Prosegur a -0320000000030626629942</t>
        </is>
      </c>
      <c r="F9" s="17" t="inlineStr">
        <is>
          <t>DEB_AUTOMATICO</t>
        </is>
      </c>
    </row>
    <row r="10">
      <c r="A10" s="26" t="n">
        <v>46083</v>
      </c>
      <c r="B10" s="17" t="inlineStr">
        <is>
          <t>Pago comercios getnet nro.liq.</t>
        </is>
      </c>
      <c r="C10" s="17" t="n"/>
      <c r="D10" s="18" t="n">
        <v>17956.09</v>
      </c>
      <c r="E10" s="17" t="inlineStr">
        <is>
          <t xml:space="preserve"> 00005515/000000000008581</t>
        </is>
      </c>
      <c r="F10" s="17" t="inlineStr">
        <is>
          <t>OTRO</t>
        </is>
      </c>
    </row>
    <row r="11">
      <c r="A11" s="26" t="n">
        <v>46083</v>
      </c>
      <c r="B11" s="17" t="inlineStr">
        <is>
          <t>Transferencia recibida</t>
        </is>
      </c>
      <c r="C11" s="17" t="n"/>
      <c r="D11" s="18" t="n">
        <v>1500000</v>
      </c>
      <c r="E11" s="17" t="inlineStr">
        <is>
          <t xml:space="preserve"> De instrument pasteur / mov interno - var / 30626629942</t>
        </is>
      </c>
      <c r="F11" s="17" t="inlineStr">
        <is>
          <t>OTRO</t>
        </is>
      </c>
    </row>
    <row r="12">
      <c r="A12" s="26" t="n">
        <v>46083</v>
      </c>
      <c r="B12" s="17" t="inlineStr">
        <is>
          <t>Pago a proveedores recibido</t>
        </is>
      </c>
      <c r="C12" s="17" t="n"/>
      <c r="D12" s="18" t="n">
        <v>1065256</v>
      </c>
      <c r="E12" s="17" t="inlineStr">
        <is>
          <t xml:space="preserve"> Quantum srl 30708046465 03 1824118</t>
        </is>
      </c>
      <c r="F12" s="17" t="inlineStr">
        <is>
          <t>OTRO</t>
        </is>
      </c>
    </row>
    <row r="13">
      <c r="A13" s="26" t="n">
        <v>46083</v>
      </c>
      <c r="B13" s="17" t="inlineStr">
        <is>
          <t>Transferencia recibida</t>
        </is>
      </c>
      <c r="C13" s="17" t="n"/>
      <c r="D13" s="18" t="n">
        <v>140722</v>
      </c>
      <c r="E13" s="17" t="inlineStr">
        <is>
          <t xml:space="preserve"> De m c fragancias sa / 9086 - fac / 30708403020</t>
        </is>
      </c>
      <c r="F13" s="17" t="inlineStr">
        <is>
          <t>OTRO</t>
        </is>
      </c>
    </row>
    <row r="14">
      <c r="A14" s="26" t="n">
        <v>46083</v>
      </c>
      <c r="B14" s="17" t="inlineStr">
        <is>
          <t>Transferencia recibida</t>
        </is>
      </c>
      <c r="C14" s="17" t="n"/>
      <c r="D14" s="18" t="n">
        <v>155788.2</v>
      </c>
      <c r="E14" s="17" t="inlineStr">
        <is>
          <t xml:space="preserve"> De medizin s.a.s / - var / 30716914816</t>
        </is>
      </c>
      <c r="F14" s="17" t="inlineStr">
        <is>
          <t>OTRO</t>
        </is>
      </c>
    </row>
    <row r="15">
      <c r="A15" s="26" t="n">
        <v>46083</v>
      </c>
      <c r="B15" s="17" t="inlineStr">
        <is>
          <t>Transf recibida cvu mismo titular</t>
        </is>
      </c>
      <c r="C15" s="17" t="n"/>
      <c r="D15" s="18" t="n">
        <v>1500000</v>
      </c>
      <c r="E15" s="17" t="inlineStr">
        <is>
          <t xml:space="preserve"> De instrumental pasteur s r / mercado pago /30626629942</t>
        </is>
      </c>
      <c r="F15" s="17" t="inlineStr">
        <is>
          <t>OTRO</t>
        </is>
      </c>
    </row>
    <row r="16">
      <c r="A16" s="26" t="n">
        <v>46083</v>
      </c>
      <c r="B16" s="17" t="inlineStr">
        <is>
          <t>Transf recibida cvu mismo titular</t>
        </is>
      </c>
      <c r="C16" s="17" t="n"/>
      <c r="D16" s="18" t="n">
        <v>3500000</v>
      </c>
      <c r="E16" s="17" t="inlineStr">
        <is>
          <t xml:space="preserve"> De instrumental pasteur s r / mercado pago /30626629942</t>
        </is>
      </c>
      <c r="F16" s="17" t="inlineStr">
        <is>
          <t>OTRO</t>
        </is>
      </c>
    </row>
    <row r="17">
      <c r="A17" s="26" t="n">
        <v>46083</v>
      </c>
      <c r="B17" s="17" t="inlineStr">
        <is>
          <t>Suscripcion fondos comunes invers</t>
        </is>
      </c>
      <c r="C17" s="18" t="n">
        <v>10000000</v>
      </c>
      <c r="D17" s="17" t="n"/>
      <c r="E17" s="17" t="inlineStr"/>
      <c r="F17" s="17" t="inlineStr">
        <is>
          <t>OTRO</t>
        </is>
      </c>
    </row>
    <row r="18">
      <c r="A18" s="26" t="n">
        <v>46083</v>
      </c>
      <c r="B18" s="17" t="inlineStr">
        <is>
          <t>Pago tarjeta de credito visa</t>
        </is>
      </c>
      <c r="C18" s="18" t="n">
        <v>815844.9399999999</v>
      </c>
      <c r="D18" s="17" t="n"/>
      <c r="E18" s="17" t="inlineStr">
        <is>
          <t xml:space="preserve"> Deb. automatico 02/03/2026 part 01313517922</t>
        </is>
      </c>
      <c r="F18" s="17" t="inlineStr">
        <is>
          <t>PAGO_TARJETA</t>
        </is>
      </c>
    </row>
    <row r="19">
      <c r="A19" s="26" t="n">
        <v>46083</v>
      </c>
      <c r="B19" s="17" t="inlineStr">
        <is>
          <t>Deposito echeq canje interno 24hs</t>
        </is>
      </c>
      <c r="C19" s="17" t="n"/>
      <c r="D19" s="18" t="n">
        <v>1163194.25</v>
      </c>
      <c r="E19" s="17" t="inlineStr"/>
      <c r="F19" s="17" t="inlineStr">
        <is>
          <t>OTRO</t>
        </is>
      </c>
    </row>
    <row r="20">
      <c r="A20" s="26" t="n">
        <v>46083</v>
      </c>
      <c r="B20" s="17" t="inlineStr">
        <is>
          <t>Impuesto ley 25.413 debito 0,6%</t>
        </is>
      </c>
      <c r="C20" s="18" t="n">
        <v>9772.75</v>
      </c>
      <c r="D20" s="17" t="n"/>
      <c r="E20" s="17" t="inlineStr">
        <is>
          <t xml:space="preserve"> * Salvo error u omisión 2 - 33</t>
        </is>
      </c>
      <c r="F20" s="17" t="inlineStr">
        <is>
          <t>LEY25413_DEBITO</t>
        </is>
      </c>
    </row>
    <row r="21">
      <c r="A21" s="26" t="n">
        <v>46083</v>
      </c>
      <c r="B21" s="17" t="inlineStr">
        <is>
          <t>Impuesto ley 25.413 credito 0,6%</t>
        </is>
      </c>
      <c r="C21" s="18" t="n">
        <v>16579.78</v>
      </c>
      <c r="D21" s="17" t="n"/>
      <c r="E21" s="17" t="inlineStr"/>
      <c r="F21" s="17" t="inlineStr">
        <is>
          <t>LEY25413_CREDITO</t>
        </is>
      </c>
    </row>
    <row r="22">
      <c r="A22" s="26" t="n">
        <v>46083</v>
      </c>
      <c r="B22" s="17" t="inlineStr">
        <is>
          <t>Regimen de recaudacion sircreb n</t>
        </is>
      </c>
      <c r="C22" s="18" t="n">
        <v>33159.54</v>
      </c>
      <c r="D22" s="17" t="n"/>
      <c r="E22" s="17" t="inlineStr">
        <is>
          <t xml:space="preserve"> Resp:30626629942 / 1,20% sobre</t>
        </is>
      </c>
      <c r="F22" s="17" t="inlineStr">
        <is>
          <t>RET_SIRCREB</t>
        </is>
      </c>
    </row>
    <row r="23">
      <c r="A23" s="26" t="n">
        <v>46083</v>
      </c>
      <c r="B23" s="17" t="inlineStr">
        <is>
          <t>Adelanto iibb tuc letra h</t>
        </is>
      </c>
      <c r="C23" s="18" t="n">
        <v>3029.96</v>
      </c>
      <c r="D23" s="17" t="n"/>
      <c r="E23" s="17" t="inlineStr">
        <is>
          <t xml:space="preserve"> Resp:30626629942 / 0,12% sobre</t>
        </is>
      </c>
      <c r="F23" s="17" t="inlineStr">
        <is>
          <t>RET_IIBB_TUCUMAN</t>
        </is>
      </c>
    </row>
    <row r="24">
      <c r="A24" s="26" t="n">
        <v>46084</v>
      </c>
      <c r="B24" s="17" t="inlineStr">
        <is>
          <t>Deposito echeq otro banco 48hs</t>
        </is>
      </c>
      <c r="C24" s="17" t="n"/>
      <c r="D24" s="18" t="n">
        <v>6328339.56</v>
      </c>
      <c r="E24" s="17" t="inlineStr"/>
      <c r="F24" s="17" t="inlineStr">
        <is>
          <t>OTRO</t>
        </is>
      </c>
    </row>
    <row r="25">
      <c r="A25" s="26" t="n">
        <v>46084</v>
      </c>
      <c r="B25" s="17" t="inlineStr">
        <is>
          <t>Deposito e-cheq 48hs presencia bsr</t>
        </is>
      </c>
      <c r="C25" s="17" t="n"/>
      <c r="D25" s="18" t="n">
        <v>2637600.65</v>
      </c>
      <c r="E25" s="17" t="inlineStr"/>
      <c r="F25" s="17" t="inlineStr">
        <is>
          <t>OTRO</t>
        </is>
      </c>
    </row>
    <row r="26">
      <c r="A26" s="26" t="n">
        <v>46084</v>
      </c>
      <c r="B26" s="17" t="inlineStr">
        <is>
          <t>Pago comercios getnet nro.liq.</t>
        </is>
      </c>
      <c r="C26" s="17" t="n"/>
      <c r="D26" s="18" t="n">
        <v>177280.27</v>
      </c>
      <c r="E26" s="17" t="inlineStr">
        <is>
          <t xml:space="preserve"> 00003893/000000000008581</t>
        </is>
      </c>
      <c r="F26" s="17" t="inlineStr">
        <is>
          <t>OTRO</t>
        </is>
      </c>
    </row>
    <row r="27">
      <c r="A27" s="26" t="n">
        <v>46084</v>
      </c>
      <c r="B27" s="17" t="inlineStr">
        <is>
          <t>Comision compensacion cheques cfu</t>
        </is>
      </c>
      <c r="C27" s="18" t="n">
        <v>18463.2</v>
      </c>
      <c r="D27" s="17" t="n"/>
      <c r="E27" s="17" t="inlineStr"/>
      <c r="F27" s="17" t="inlineStr">
        <is>
          <t>COMISION</t>
        </is>
      </c>
    </row>
    <row r="28">
      <c r="A28" s="26" t="n">
        <v>46084</v>
      </c>
      <c r="B28" s="17" t="inlineStr">
        <is>
          <t>Percepcion ingresos brutos caba</t>
        </is>
      </c>
      <c r="C28" s="18" t="n">
        <v>923.16</v>
      </c>
      <c r="D28" s="17" t="n"/>
      <c r="E28" s="17" t="inlineStr"/>
      <c r="F28" s="17" t="inlineStr">
        <is>
          <t>PERC_IIBB</t>
        </is>
      </c>
    </row>
    <row r="29">
      <c r="A29" s="26" t="n">
        <v>46084</v>
      </c>
      <c r="B29" s="17" t="inlineStr">
        <is>
          <t>Iva 21% reg de transfisc ley27743</t>
        </is>
      </c>
      <c r="C29" s="18" t="n">
        <v>3877.27</v>
      </c>
      <c r="D29" s="17" t="n"/>
      <c r="E29" s="17" t="inlineStr"/>
      <c r="F29" s="17" t="inlineStr">
        <is>
          <t>IVA</t>
        </is>
      </c>
    </row>
    <row r="30">
      <c r="A30" s="26" t="n">
        <v>46084</v>
      </c>
      <c r="B30" s="17" t="inlineStr">
        <is>
          <t>Iva percepcion rg 2408</t>
        </is>
      </c>
      <c r="C30" s="18" t="n">
        <v>553.9</v>
      </c>
      <c r="D30" s="17" t="n"/>
      <c r="E30" s="17" t="inlineStr"/>
      <c r="F30" s="17" t="inlineStr">
        <is>
          <t>IVA</t>
        </is>
      </c>
    </row>
    <row r="31">
      <c r="A31" s="26" t="n">
        <v>46084</v>
      </c>
      <c r="B31" s="17" t="inlineStr">
        <is>
          <t>Pago a proveedores recibido</t>
        </is>
      </c>
      <c r="C31" s="17" t="n"/>
      <c r="D31" s="18" t="n">
        <v>5078567.09</v>
      </c>
      <c r="E31" s="17" t="inlineStr">
        <is>
          <t xml:space="preserve"> Bioingepro srl 30709715980 03 3377951</t>
        </is>
      </c>
      <c r="F31" s="17" t="inlineStr">
        <is>
          <t>OTRO</t>
        </is>
      </c>
    </row>
    <row r="32">
      <c r="A32" s="26" t="n">
        <v>46084</v>
      </c>
      <c r="B32" s="17" t="inlineStr">
        <is>
          <t>Pago comercios getnet nro.liq.</t>
        </is>
      </c>
      <c r="C32" s="17" t="n"/>
      <c r="D32" s="18" t="n">
        <v>41771.35</v>
      </c>
      <c r="E32" s="17" t="inlineStr">
        <is>
          <t xml:space="preserve"> 00006841/000000000008581</t>
        </is>
      </c>
      <c r="F32" s="17" t="inlineStr">
        <is>
          <t>OTRO</t>
        </is>
      </c>
    </row>
    <row r="33">
      <c r="A33" s="26" t="n">
        <v>46084</v>
      </c>
      <c r="B33" s="17" t="inlineStr">
        <is>
          <t>Pago a proveedores recibido</t>
        </is>
      </c>
      <c r="C33" s="17" t="n"/>
      <c r="D33" s="18" t="n">
        <v>66691.62</v>
      </c>
      <c r="E33" s="17" t="inlineStr">
        <is>
          <t xml:space="preserve"> Universidad nacional del cent 30586761419 03 3417489</t>
        </is>
      </c>
      <c r="F33" s="17" t="inlineStr">
        <is>
          <t>OTRO</t>
        </is>
      </c>
    </row>
    <row r="34">
      <c r="A34" s="26" t="n">
        <v>46084</v>
      </c>
      <c r="B34" s="17" t="inlineStr">
        <is>
          <t>Transferencia recibida</t>
        </is>
      </c>
      <c r="C34" s="17" t="n"/>
      <c r="D34" s="18" t="n">
        <v>376285.8</v>
      </c>
      <c r="E34" s="17" t="inlineStr">
        <is>
          <t xml:space="preserve"> De maria martina de batti / - var / 27305645058</t>
        </is>
      </c>
      <c r="F34" s="17" t="inlineStr">
        <is>
          <t>OTRO</t>
        </is>
      </c>
    </row>
    <row r="35">
      <c r="A35" s="26" t="n">
        <v>46084</v>
      </c>
      <c r="B35" s="17" t="inlineStr">
        <is>
          <t>Transferencia recibida</t>
        </is>
      </c>
      <c r="C35" s="17" t="n"/>
      <c r="D35" s="18" t="n">
        <v>111289.75</v>
      </c>
      <c r="E35" s="17" t="inlineStr">
        <is>
          <t xml:space="preserve"> De nicolas errasti martin / - var / 20315308721</t>
        </is>
      </c>
      <c r="F35" s="17" t="inlineStr">
        <is>
          <t>OTRO</t>
        </is>
      </c>
    </row>
    <row r="36">
      <c r="A36" s="26" t="n">
        <v>46084</v>
      </c>
      <c r="B36" s="17" t="inlineStr">
        <is>
          <t>Credito transf online banking emp</t>
        </is>
      </c>
      <c r="C36" s="17" t="n"/>
      <c r="D36" s="18" t="n">
        <v>698727.85</v>
      </c>
      <c r="E36" s="17" t="inlineStr">
        <is>
          <t xml:space="preserve"> De ricardo bueloni y cia / factura - fac / 30522947632</t>
        </is>
      </c>
      <c r="F36" s="17" t="inlineStr">
        <is>
          <t>OTRO</t>
        </is>
      </c>
    </row>
    <row r="37">
      <c r="A37" s="26" t="n">
        <v>46084</v>
      </c>
      <c r="B37" s="17" t="inlineStr">
        <is>
          <t>Credito transf online banking emp</t>
        </is>
      </c>
      <c r="C37" s="17" t="n"/>
      <c r="D37" s="18" t="n">
        <v>41895</v>
      </c>
      <c r="E37" s="17" t="inlineStr">
        <is>
          <t xml:space="preserve"> De farmacia colon srl / factura - fac / 30532610989</t>
        </is>
      </c>
      <c r="F37" s="17" t="inlineStr">
        <is>
          <t>OTRO</t>
        </is>
      </c>
    </row>
    <row r="38">
      <c r="A38" s="26" t="n">
        <v>46084</v>
      </c>
      <c r="B38" s="17" t="inlineStr">
        <is>
          <t>Transf recibida cvu mismo titular</t>
        </is>
      </c>
      <c r="C38" s="17" t="n"/>
      <c r="D38" s="18" t="n">
        <v>1800000</v>
      </c>
      <c r="E38" s="17" t="inlineStr">
        <is>
          <t xml:space="preserve"> De instrumental pasteur s r / mercado pago /30626629942</t>
        </is>
      </c>
      <c r="F38" s="17" t="inlineStr">
        <is>
          <t>OTRO</t>
        </is>
      </c>
    </row>
    <row r="39">
      <c r="A39" s="26" t="n">
        <v>46084</v>
      </c>
      <c r="B39" s="17" t="inlineStr">
        <is>
          <t>Pago a proveedores</t>
        </is>
      </c>
      <c r="C39" s="17" t="n"/>
      <c r="D39" s="18" t="n">
        <v>1676255.37</v>
      </c>
      <c r="E39" s="17" t="inlineStr">
        <is>
          <t xml:space="preserve"> 260303007soc benef hosp italia cuit 30545894528</t>
        </is>
      </c>
      <c r="F39" s="17" t="inlineStr">
        <is>
          <t>OTRO</t>
        </is>
      </c>
    </row>
    <row r="40">
      <c r="A40" s="26" t="n">
        <v>46084</v>
      </c>
      <c r="B40" s="17" t="inlineStr">
        <is>
          <t>Transferencia realizada</t>
        </is>
      </c>
      <c r="C40" s="18" t="n">
        <v>175593.51</v>
      </c>
      <c r="D40" s="17" t="n"/>
      <c r="E40" s="17" t="inlineStr">
        <is>
          <t xml:space="preserve"> A oca log s.a. / factura - fac / 30717024393</t>
        </is>
      </c>
      <c r="F40" s="17" t="inlineStr">
        <is>
          <t>OTRO</t>
        </is>
      </c>
    </row>
    <row r="41">
      <c r="A41" s="26" t="n">
        <v>46084</v>
      </c>
      <c r="B41" s="17" t="inlineStr">
        <is>
          <t>Transferencia realizada</t>
        </is>
      </c>
      <c r="C41" s="18" t="n">
        <v>920576.26</v>
      </c>
      <c r="D41" s="17" t="n"/>
      <c r="E41" s="17" t="inlineStr">
        <is>
          <t xml:space="preserve"> A correo andreani sa / factura - fac / 33699685459</t>
        </is>
      </c>
      <c r="F41" s="17" t="inlineStr">
        <is>
          <t>OTRO</t>
        </is>
      </c>
    </row>
    <row r="42">
      <c r="A42" s="26" t="n">
        <v>46084</v>
      </c>
      <c r="B42" s="17" t="inlineStr">
        <is>
          <t>Transferencia realizada</t>
        </is>
      </c>
      <c r="C42" s="18" t="n">
        <v>353925</v>
      </c>
      <c r="D42" s="17" t="n"/>
      <c r="E42" s="17" t="inlineStr">
        <is>
          <t xml:space="preserve"> A empresa de seguridad gl / factura - fac / 30716678322</t>
        </is>
      </c>
      <c r="F42" s="17" t="inlineStr">
        <is>
          <t>OTRO</t>
        </is>
      </c>
    </row>
    <row r="43">
      <c r="A43" s="26" t="n">
        <v>46084</v>
      </c>
      <c r="B43" s="17" t="inlineStr">
        <is>
          <t>Transferencia realizada</t>
        </is>
      </c>
      <c r="C43" s="18" t="n">
        <v>500000</v>
      </c>
      <c r="D43" s="17" t="n"/>
      <c r="E43" s="17" t="inlineStr">
        <is>
          <t xml:space="preserve"> A lipower s. a. / varios - var / 30717439186</t>
        </is>
      </c>
      <c r="F43" s="17" t="inlineStr">
        <is>
          <t>OTRO</t>
        </is>
      </c>
    </row>
    <row r="44">
      <c r="A44" s="26" t="n">
        <v>46084</v>
      </c>
      <c r="B44" s="17" t="inlineStr">
        <is>
          <t>Transferencia realizada</t>
        </is>
      </c>
      <c r="C44" s="18" t="n">
        <v>7643370</v>
      </c>
      <c r="D44" s="17" t="n"/>
      <c r="E44" s="17" t="inlineStr">
        <is>
          <t xml:space="preserve"> A massino alejandro damia / factura - fac / 30714468347</t>
        </is>
      </c>
      <c r="F44" s="17" t="inlineStr">
        <is>
          <t>OTRO</t>
        </is>
      </c>
    </row>
    <row r="45">
      <c r="A45" s="26" t="n">
        <v>46084</v>
      </c>
      <c r="B45" s="17" t="inlineStr">
        <is>
          <t>Transferencia realizada</t>
        </is>
      </c>
      <c r="C45" s="18" t="n">
        <v>710000</v>
      </c>
      <c r="D45" s="17" t="n"/>
      <c r="E45" s="17" t="inlineStr">
        <is>
          <t xml:space="preserve"> A vulycher norberto / factura - fac / 20060581119</t>
        </is>
      </c>
      <c r="F45" s="17" t="inlineStr">
        <is>
          <t>OTRO</t>
        </is>
      </c>
    </row>
    <row r="46">
      <c r="A46" s="26" t="n">
        <v>46084</v>
      </c>
      <c r="B46" s="17" t="inlineStr">
        <is>
          <t>Debito transf. online banking emp</t>
        </is>
      </c>
      <c r="C46" s="18" t="n">
        <v>440846.7</v>
      </c>
      <c r="D46" s="17" t="n"/>
      <c r="E46" s="17" t="inlineStr">
        <is>
          <t xml:space="preserve"> A nancy noemi franco vill / varios - var / 27287732029</t>
        </is>
      </c>
      <c r="F46" s="17" t="inlineStr">
        <is>
          <t>OTRO</t>
        </is>
      </c>
    </row>
    <row r="47">
      <c r="A47" s="26" t="n">
        <v>46084</v>
      </c>
      <c r="B47" s="17" t="inlineStr">
        <is>
          <t>Debito transf. online banking emp</t>
        </is>
      </c>
      <c r="C47" s="18" t="n">
        <v>72894.69</v>
      </c>
      <c r="D47" s="17" t="n"/>
      <c r="E47" s="17" t="inlineStr">
        <is>
          <t xml:space="preserve"> A vanaty srl / factura - fac / 30708798009</t>
        </is>
      </c>
      <c r="F47" s="17" t="inlineStr">
        <is>
          <t>OTRO</t>
        </is>
      </c>
    </row>
    <row r="48">
      <c r="A48" s="26" t="n">
        <v>46084</v>
      </c>
      <c r="B48" s="17" t="inlineStr">
        <is>
          <t>Debito transf. online banking emp</t>
        </is>
      </c>
      <c r="C48" s="18" t="n">
        <v>109631.34</v>
      </c>
      <c r="D48" s="17" t="n"/>
      <c r="E48" s="17" t="inlineStr">
        <is>
          <t xml:space="preserve"> A nss sa / factura - fac / 30702652975</t>
        </is>
      </c>
      <c r="F48" s="17" t="inlineStr">
        <is>
          <t>OTRO</t>
        </is>
      </c>
    </row>
    <row r="49">
      <c r="A49" s="26" t="n">
        <v>46084</v>
      </c>
      <c r="B49" s="17" t="inlineStr">
        <is>
          <t>Impuesto ley 25.413 debito 0,6%</t>
        </is>
      </c>
      <c r="C49" s="18" t="n">
        <v>65921.07000000001</v>
      </c>
      <c r="D49" s="17" t="n"/>
      <c r="E49" s="17" t="inlineStr"/>
      <c r="F49" s="17" t="inlineStr">
        <is>
          <t>LEY25413_DEBITO</t>
        </is>
      </c>
    </row>
    <row r="50">
      <c r="A50" s="26" t="n">
        <v>46084</v>
      </c>
      <c r="B50" s="17" t="inlineStr">
        <is>
          <t>Impuesto ley 25.413 credito 0,6%</t>
        </is>
      </c>
      <c r="C50" s="18" t="n">
        <v>103408.22</v>
      </c>
      <c r="D50" s="17" t="n"/>
      <c r="E50" s="17" t="inlineStr"/>
      <c r="F50" s="17" t="inlineStr">
        <is>
          <t>LEY25413_CREDITO</t>
        </is>
      </c>
    </row>
    <row r="51">
      <c r="A51" s="26" t="n">
        <v>46084</v>
      </c>
      <c r="B51" s="17" t="inlineStr">
        <is>
          <t>Comision transf otros bcos canales</t>
        </is>
      </c>
      <c r="C51" s="18" t="n">
        <v>1485</v>
      </c>
      <c r="D51" s="17" t="n"/>
      <c r="E51" s="17" t="inlineStr">
        <is>
          <t xml:space="preserve"> Comision transferencias</t>
        </is>
      </c>
      <c r="F51" s="17" t="inlineStr">
        <is>
          <t>COMISION</t>
        </is>
      </c>
    </row>
    <row r="52">
      <c r="A52" s="26" t="n">
        <v>46084</v>
      </c>
      <c r="B52" s="17" t="inlineStr">
        <is>
          <t>Iva 21% reg de transfisc ley27743</t>
        </is>
      </c>
      <c r="C52" s="18" t="n">
        <v>311.85</v>
      </c>
      <c r="D52" s="17" t="n"/>
      <c r="E52" s="17" t="inlineStr"/>
      <c r="F52" s="17" t="inlineStr">
        <is>
          <t>IVA</t>
        </is>
      </c>
    </row>
    <row r="53">
      <c r="A53" s="26" t="n">
        <v>46084</v>
      </c>
      <c r="B53" s="17" t="inlineStr">
        <is>
          <t>Regimen de recaudacion sircreb n</t>
        </is>
      </c>
      <c r="C53" s="18" t="n">
        <v>206816.45</v>
      </c>
      <c r="D53" s="17" t="n"/>
      <c r="E53" s="17" t="inlineStr">
        <is>
          <t xml:space="preserve"> Resp:30626629942 / 1,20% sobre</t>
        </is>
      </c>
      <c r="F53" s="17" t="inlineStr">
        <is>
          <t>RET_SIRCREB</t>
        </is>
      </c>
    </row>
    <row r="54">
      <c r="A54" s="26" t="n">
        <v>46084</v>
      </c>
      <c r="B54" s="17" t="inlineStr">
        <is>
          <t>Adelanto iibb tuc letra h</t>
        </is>
      </c>
      <c r="C54" s="18" t="n">
        <v>19530.04</v>
      </c>
      <c r="D54" s="17" t="n"/>
      <c r="E54" s="17" t="inlineStr">
        <is>
          <t xml:space="preserve"> Resp:30626629942 / 0,12% sobre</t>
        </is>
      </c>
      <c r="F54" s="17" t="inlineStr">
        <is>
          <t>RET_IIBB_TUCUMAN</t>
        </is>
      </c>
    </row>
    <row r="55">
      <c r="A55" s="26" t="n">
        <v>46085</v>
      </c>
      <c r="B55" s="17" t="inlineStr">
        <is>
          <t>Pago comercios getnet nro.liq.</t>
        </is>
      </c>
      <c r="C55" s="17" t="n"/>
      <c r="D55" s="18" t="n">
        <v>93757.34</v>
      </c>
      <c r="E55" s="17" t="inlineStr">
        <is>
          <t xml:space="preserve"> 00004883/000000000008581</t>
        </is>
      </c>
      <c r="F55" s="17" t="inlineStr">
        <is>
          <t>OTRO</t>
        </is>
      </c>
    </row>
    <row r="56">
      <c r="A56" s="26" t="n">
        <v>46085</v>
      </c>
      <c r="B56" s="17" t="inlineStr">
        <is>
          <t>Pago comercios getnet nro.liq.</t>
        </is>
      </c>
      <c r="C56" s="17" t="n"/>
      <c r="D56" s="18" t="n">
        <v>149075.55</v>
      </c>
      <c r="E56" s="17" t="inlineStr">
        <is>
          <t xml:space="preserve"> 00005477/000000000008581</t>
        </is>
      </c>
      <c r="F56" s="17" t="inlineStr">
        <is>
          <t>OTRO</t>
        </is>
      </c>
    </row>
    <row r="57">
      <c r="A57" s="26" t="n">
        <v>46085</v>
      </c>
      <c r="B57" s="17" t="inlineStr">
        <is>
          <t>Transferencia ctas mobile banking</t>
        </is>
      </c>
      <c r="C57" s="17" t="n"/>
      <c r="D57" s="18" t="n">
        <v>43392</v>
      </c>
      <c r="E57" s="17" t="inlineStr">
        <is>
          <t xml:space="preserve"> De carla maria esquivel a / varios - var / 23246146004</t>
        </is>
      </c>
      <c r="F57" s="17" t="inlineStr">
        <is>
          <t>OTRO</t>
        </is>
      </c>
    </row>
    <row r="58">
      <c r="A58" s="26" t="n">
        <v>46085</v>
      </c>
      <c r="B58" s="17" t="inlineStr">
        <is>
          <t>Transferencia recibida</t>
        </is>
      </c>
      <c r="C58" s="17" t="n"/>
      <c r="D58" s="18" t="n">
        <v>21971.77</v>
      </c>
      <c r="E58" s="17" t="inlineStr">
        <is>
          <t xml:space="preserve"> De badano/wilmer estanisl / 0047089291 - var / 23470892919</t>
        </is>
      </c>
      <c r="F58" s="17" t="inlineStr">
        <is>
          <t>OTRO</t>
        </is>
      </c>
    </row>
    <row r="59">
      <c r="A59" s="26" t="n">
        <v>46085</v>
      </c>
      <c r="B59" s="17" t="inlineStr">
        <is>
          <t>Suscripcion fondos comunes invers</t>
        </is>
      </c>
      <c r="C59" s="18" t="n">
        <v>9000000</v>
      </c>
      <c r="D59" s="17" t="n"/>
      <c r="E59" s="17" t="inlineStr"/>
      <c r="F59" s="17" t="inlineStr">
        <is>
          <t>OTRO</t>
        </is>
      </c>
    </row>
    <row r="60">
      <c r="A60" s="26" t="n">
        <v>46085</v>
      </c>
      <c r="B60" s="17" t="inlineStr">
        <is>
          <t>Impuesto ley 25.413 debito 0,6%</t>
        </is>
      </c>
      <c r="C60" s="18" t="n">
        <v>1368.86</v>
      </c>
      <c r="D60" s="17" t="n"/>
      <c r="E60" s="17" t="inlineStr"/>
      <c r="F60" s="17" t="inlineStr">
        <is>
          <t>LEY25413_DEBITO</t>
        </is>
      </c>
    </row>
    <row r="61">
      <c r="A61" s="26" t="n">
        <v>46085</v>
      </c>
      <c r="B61" s="17" t="inlineStr">
        <is>
          <t>Impuesto ley 25.413 credito 0,6%</t>
        </is>
      </c>
      <c r="C61" s="18" t="n">
        <v>1849.17</v>
      </c>
      <c r="D61" s="17" t="n"/>
      <c r="E61" s="17" t="inlineStr"/>
      <c r="F61" s="17" t="inlineStr">
        <is>
          <t>LEY25413_CREDITO</t>
        </is>
      </c>
    </row>
    <row r="62">
      <c r="A62" s="26" t="n">
        <v>46085</v>
      </c>
      <c r="B62" s="17" t="inlineStr">
        <is>
          <t>Regimen de recaudacion sircreb n</t>
        </is>
      </c>
      <c r="C62" s="18" t="n">
        <v>3698.36</v>
      </c>
      <c r="D62" s="17" t="n"/>
      <c r="E62" s="17" t="inlineStr">
        <is>
          <t xml:space="preserve"> Resp:30626629942 / 1,20% sobre</t>
        </is>
      </c>
      <c r="F62" s="17" t="inlineStr">
        <is>
          <t>RET_SIRCREB</t>
        </is>
      </c>
    </row>
    <row r="63">
      <c r="A63" s="26" t="n">
        <v>46085</v>
      </c>
      <c r="B63" s="17" t="inlineStr">
        <is>
          <t>Adelanto iibb tuc letra h</t>
        </is>
      </c>
      <c r="C63" s="18" t="n">
        <v>78.44</v>
      </c>
      <c r="D63" s="17" t="n"/>
      <c r="E63" s="17" t="inlineStr">
        <is>
          <t xml:space="preserve"> Resp:30626629942 / 0,12% sobre</t>
        </is>
      </c>
      <c r="F63" s="17" t="inlineStr">
        <is>
          <t>RET_IIBB_TUCUMAN</t>
        </is>
      </c>
    </row>
    <row r="64">
      <c r="A64" s="26" t="n">
        <v>46086</v>
      </c>
      <c r="B64" s="17" t="inlineStr">
        <is>
          <t>Deposito echeq otro banco 48hs</t>
        </is>
      </c>
      <c r="C64" s="17" t="n"/>
      <c r="D64" s="18" t="n">
        <v>792947.4</v>
      </c>
      <c r="E64" s="17" t="inlineStr"/>
      <c r="F64" s="17" t="inlineStr">
        <is>
          <t>OTRO</t>
        </is>
      </c>
    </row>
    <row r="65">
      <c r="A65" s="26" t="n">
        <v>46086</v>
      </c>
      <c r="B65" s="17" t="inlineStr">
        <is>
          <t>Pago comercios getnet nro.liq.</t>
        </is>
      </c>
      <c r="C65" s="17" t="n"/>
      <c r="D65" s="18" t="n">
        <v>23590.97</v>
      </c>
      <c r="E65" s="17" t="inlineStr">
        <is>
          <t xml:space="preserve"> 00004394/000000000008581</t>
        </is>
      </c>
      <c r="F65" s="17" t="inlineStr">
        <is>
          <t>OTRO</t>
        </is>
      </c>
    </row>
    <row r="66">
      <c r="A66" s="26" t="n">
        <v>46086</v>
      </c>
      <c r="B66" s="17" t="inlineStr">
        <is>
          <t>Debito automatico</t>
        </is>
      </c>
      <c r="C66" s="18" t="n">
        <v>234360</v>
      </c>
      <c r="D66" s="17" t="n"/>
      <c r="E66" s="17" t="inlineStr">
        <is>
          <t xml:space="preserve"> Allianz -instrumenta00001055218</t>
        </is>
      </c>
      <c r="F66" s="17" t="inlineStr">
        <is>
          <t>DEB_AUTOMATICO</t>
        </is>
      </c>
    </row>
    <row r="67">
      <c r="A67" s="26" t="n">
        <v>46086</v>
      </c>
      <c r="B67" s="17" t="inlineStr">
        <is>
          <t>Debito automatico</t>
        </is>
      </c>
      <c r="C67" s="18" t="n">
        <v>238545</v>
      </c>
      <c r="D67" s="17" t="n"/>
      <c r="E67" s="17" t="inlineStr">
        <is>
          <t xml:space="preserve"> Allianz -instrumenta00001055218</t>
        </is>
      </c>
      <c r="F67" s="17" t="inlineStr">
        <is>
          <t>DEB_AUTOMATICO</t>
        </is>
      </c>
    </row>
    <row r="68">
      <c r="A68" s="26" t="n">
        <v>46086</v>
      </c>
      <c r="B68" s="17" t="inlineStr">
        <is>
          <t>Debito automatico</t>
        </is>
      </c>
      <c r="C68" s="18" t="n">
        <v>7271</v>
      </c>
      <c r="D68" s="17" t="n"/>
      <c r="E68" s="17" t="inlineStr">
        <is>
          <t xml:space="preserve"> Allianz -instrumenta00001055218</t>
        </is>
      </c>
      <c r="F68" s="17" t="inlineStr">
        <is>
          <t>DEB_AUTOMATICO</t>
        </is>
      </c>
    </row>
    <row r="69">
      <c r="A69" s="26" t="n">
        <v>46086</v>
      </c>
      <c r="B69" s="17" t="inlineStr">
        <is>
          <t>Snp debito directo</t>
        </is>
      </c>
      <c r="C69" s="18" t="n">
        <v>106.13</v>
      </c>
      <c r="D69" s="17" t="n"/>
      <c r="E69" s="17" t="inlineStr">
        <is>
          <t xml:space="preserve"> Zurich int life -2000156664</t>
        </is>
      </c>
      <c r="F69" s="17" t="inlineStr">
        <is>
          <t>OTRO</t>
        </is>
      </c>
    </row>
    <row r="70">
      <c r="A70" s="26" t="n">
        <v>46086</v>
      </c>
      <c r="B70" s="17" t="inlineStr">
        <is>
          <t>Debito automatico</t>
        </is>
      </c>
      <c r="C70" s="18" t="n">
        <v>54448.25</v>
      </c>
      <c r="D70" s="17" t="n"/>
      <c r="E70" s="17" t="inlineStr">
        <is>
          <t xml:space="preserve"> Arca (ex afip) -27135305222</t>
        </is>
      </c>
      <c r="F70" s="17" t="inlineStr">
        <is>
          <t>DEB_AUTOMATICO</t>
        </is>
      </c>
    </row>
    <row r="71">
      <c r="A71" s="26" t="n">
        <v>46086</v>
      </c>
      <c r="B71" s="17" t="inlineStr">
        <is>
          <t>Pago comercios getnet nro.liq.</t>
        </is>
      </c>
      <c r="C71" s="17" t="n"/>
      <c r="D71" s="18" t="n">
        <v>113286.66</v>
      </c>
      <c r="E71" s="17" t="inlineStr">
        <is>
          <t xml:space="preserve"> 00005429/000000000008581</t>
        </is>
      </c>
      <c r="F71" s="17" t="inlineStr">
        <is>
          <t>OTRO</t>
        </is>
      </c>
    </row>
    <row r="72">
      <c r="A72" s="26" t="n">
        <v>46086</v>
      </c>
      <c r="B72" s="17" t="inlineStr">
        <is>
          <t>Transferencia recibida</t>
        </is>
      </c>
      <c r="C72" s="17" t="n"/>
      <c r="D72" s="18" t="n">
        <v>44232</v>
      </c>
      <c r="E72" s="17" t="inlineStr">
        <is>
          <t xml:space="preserve"> De transquimica marina / pr 13220 - fac / 30641818972</t>
        </is>
      </c>
      <c r="F72" s="17" t="inlineStr">
        <is>
          <t>OTRO</t>
        </is>
      </c>
    </row>
    <row r="73">
      <c r="A73" s="26" t="n">
        <v>46086</v>
      </c>
      <c r="B73" s="17" t="inlineStr">
        <is>
          <t>Transferencia recibida</t>
        </is>
      </c>
      <c r="C73" s="17" t="n"/>
      <c r="D73" s="18" t="n">
        <v>621363.6</v>
      </c>
      <c r="E73" s="17" t="inlineStr">
        <is>
          <t xml:space="preserve"> De sandra edith zulian / - var / 27232703240</t>
        </is>
      </c>
      <c r="F73" s="17" t="inlineStr">
        <is>
          <t>OTRO</t>
        </is>
      </c>
    </row>
    <row r="74">
      <c r="A74" s="26" t="n">
        <v>46086</v>
      </c>
      <c r="B74" s="17" t="inlineStr">
        <is>
          <t>Transf recibida cvu mismo titular</t>
        </is>
      </c>
      <c r="C74" s="17" t="n"/>
      <c r="D74" s="18" t="n">
        <v>1000000</v>
      </c>
      <c r="E74" s="17" t="inlineStr">
        <is>
          <t xml:space="preserve"> De instrumental pasteur s r / mercado pago /30626629942</t>
        </is>
      </c>
      <c r="F74" s="17" t="inlineStr">
        <is>
          <t>OTRO</t>
        </is>
      </c>
    </row>
    <row r="75">
      <c r="A75" s="26" t="n">
        <v>46086</v>
      </c>
      <c r="B75" s="17" t="inlineStr">
        <is>
          <t>Debito transf. online banking emp</t>
        </is>
      </c>
      <c r="C75" s="18" t="n">
        <v>586850</v>
      </c>
      <c r="D75" s="17" t="n"/>
      <c r="E75" s="17" t="inlineStr">
        <is>
          <t xml:space="preserve"> A gerardo damian ferrero / factura - fac / 20225888737</t>
        </is>
      </c>
      <c r="F75" s="17" t="inlineStr">
        <is>
          <t>OTRO</t>
        </is>
      </c>
    </row>
    <row r="76">
      <c r="A76" s="26" t="n">
        <v>46086</v>
      </c>
      <c r="B76" s="17" t="inlineStr">
        <is>
          <t>Transferencia realizada</t>
        </is>
      </c>
      <c r="C76" s="18" t="n">
        <v>18326</v>
      </c>
      <c r="D76" s="17" t="n"/>
      <c r="E76" s="17" t="inlineStr">
        <is>
          <t xml:space="preserve"> A centro medico integr / factura - fac / 33556018079</t>
        </is>
      </c>
      <c r="F76" s="17" t="inlineStr">
        <is>
          <t>OTRO</t>
        </is>
      </c>
    </row>
    <row r="77">
      <c r="A77" s="26" t="n">
        <v>46086</v>
      </c>
      <c r="B77" s="17" t="inlineStr">
        <is>
          <t>Debito transf. online banking emp</t>
        </is>
      </c>
      <c r="C77" s="18" t="n">
        <v>138293.61</v>
      </c>
      <c r="D77" s="17" t="n"/>
      <c r="E77" s="17" t="inlineStr">
        <is>
          <t xml:space="preserve"> A vanaty srl / factura - fac / 30708798009</t>
        </is>
      </c>
      <c r="F77" s="17" t="inlineStr">
        <is>
          <t>OTRO</t>
        </is>
      </c>
    </row>
    <row r="78">
      <c r="A78" s="26" t="n">
        <v>46086</v>
      </c>
      <c r="B78" s="17" t="inlineStr">
        <is>
          <t>Transferencia realizada</t>
        </is>
      </c>
      <c r="C78" s="18" t="n">
        <v>116107.55</v>
      </c>
      <c r="D78" s="17" t="n"/>
      <c r="E78" s="17" t="inlineStr">
        <is>
          <t xml:space="preserve"> A security hnos srl / factura - fac / 30715337017</t>
        </is>
      </c>
      <c r="F78" s="17" t="inlineStr">
        <is>
          <t>OTRO</t>
        </is>
      </c>
    </row>
    <row r="79">
      <c r="A79" s="26" t="n">
        <v>46086</v>
      </c>
      <c r="B79" s="17" t="inlineStr">
        <is>
          <t>Transferencia realizada</t>
        </is>
      </c>
      <c r="C79" s="18" t="n">
        <v>1000000</v>
      </c>
      <c r="D79" s="17" t="n"/>
      <c r="E79" s="17" t="inlineStr">
        <is>
          <t xml:space="preserve"> A ambrogi pablo jose / factura - fac / 20298009596</t>
        </is>
      </c>
      <c r="F79" s="17" t="inlineStr">
        <is>
          <t>OTRO</t>
        </is>
      </c>
    </row>
    <row r="80">
      <c r="A80" s="26" t="n">
        <v>46086</v>
      </c>
      <c r="B80" s="17" t="inlineStr">
        <is>
          <t>Debito transf. online banking emp</t>
        </is>
      </c>
      <c r="C80" s="18" t="n">
        <v>934228.37</v>
      </c>
      <c r="D80" s="17" t="n"/>
      <c r="E80" s="17" t="inlineStr">
        <is>
          <t xml:space="preserve"> A christian horacio seran / factura - fac / 20277137373</t>
        </is>
      </c>
      <c r="F80" s="17" t="inlineStr">
        <is>
          <t>OTRO</t>
        </is>
      </c>
    </row>
    <row r="81">
      <c r="A81" s="26" t="n">
        <v>46086</v>
      </c>
      <c r="B81" s="17" t="inlineStr">
        <is>
          <t>Debito transf. online banking emp</t>
        </is>
      </c>
      <c r="C81" s="18" t="n">
        <v>690000</v>
      </c>
      <c r="D81" s="17" t="n"/>
      <c r="E81" s="17" t="inlineStr">
        <is>
          <t xml:space="preserve"> A eduardo pernice / factura - fac / 20149882538</t>
        </is>
      </c>
      <c r="F81" s="17" t="inlineStr">
        <is>
          <t>OTRO</t>
        </is>
      </c>
    </row>
    <row r="82">
      <c r="A82" s="26" t="n">
        <v>46086</v>
      </c>
      <c r="B82" s="17" t="inlineStr">
        <is>
          <t>Transferencia realizada</t>
        </is>
      </c>
      <c r="C82" s="18" t="n">
        <v>18086.63</v>
      </c>
      <c r="D82" s="17" t="n"/>
      <c r="E82" s="17" t="inlineStr">
        <is>
          <t xml:space="preserve"> A correo andreani sa / factura - fac / 33699685459</t>
        </is>
      </c>
      <c r="F82" s="17" t="inlineStr">
        <is>
          <t>OTRO</t>
        </is>
      </c>
    </row>
    <row r="83">
      <c r="A83" s="26" t="n">
        <v>46086</v>
      </c>
      <c r="B83" s="17" t="inlineStr">
        <is>
          <t>Transferencia realizada</t>
        </is>
      </c>
      <c r="C83" s="18" t="n">
        <v>532160.58</v>
      </c>
      <c r="D83" s="17" t="n"/>
      <c r="E83" s="17" t="inlineStr">
        <is>
          <t xml:space="preserve"> A msm tech / factura - fac / 30717011666</t>
        </is>
      </c>
      <c r="F83" s="17" t="inlineStr">
        <is>
          <t>OTRO</t>
        </is>
      </c>
    </row>
    <row r="84">
      <c r="A84" s="26" t="n">
        <v>46086</v>
      </c>
      <c r="B84" s="17" t="inlineStr">
        <is>
          <t>Transferencia realizada</t>
        </is>
      </c>
      <c r="C84" s="17" t="n"/>
      <c r="D84" s="18" t="n">
        <v>1071148</v>
      </c>
      <c r="E84" s="17" t="inlineStr">
        <is>
          <t xml:space="preserve"> A massino alejandro damia / factura - fac / 30714468347</t>
        </is>
      </c>
      <c r="F84" s="17" t="inlineStr">
        <is>
          <t>OTRO</t>
        </is>
      </c>
    </row>
    <row r="85">
      <c r="A85" s="26" t="n">
        <v>46086</v>
      </c>
      <c r="B85" s="17" t="inlineStr">
        <is>
          <t>Transferencia realizada</t>
        </is>
      </c>
      <c r="C85" s="17" t="n"/>
      <c r="D85" s="18" t="n">
        <v>800000</v>
      </c>
      <c r="E85" s="17" t="inlineStr">
        <is>
          <t xml:space="preserve"> A lipower s. a. / factura - fac / 30717439186</t>
        </is>
      </c>
      <c r="F85" s="17" t="inlineStr">
        <is>
          <t>OTRO</t>
        </is>
      </c>
    </row>
    <row r="86">
      <c r="A86" s="26" t="n">
        <v>46086</v>
      </c>
      <c r="B86" s="17" t="inlineStr">
        <is>
          <t>Pago a proveedores recibido</t>
        </is>
      </c>
      <c r="C86" s="18" t="n">
        <v>1593833.47</v>
      </c>
      <c r="D86" s="17" t="n"/>
      <c r="E86" s="17" t="inlineStr">
        <is>
          <t xml:space="preserve"> Sgs argentina sa 30547110427 03 5458761</t>
        </is>
      </c>
      <c r="F86" s="17" t="inlineStr">
        <is>
          <t>OTRO</t>
        </is>
      </c>
    </row>
    <row r="87">
      <c r="A87" s="26" t="n">
        <v>46086</v>
      </c>
      <c r="B87" s="17" t="inlineStr">
        <is>
          <t>Credito transf online banking emp</t>
        </is>
      </c>
      <c r="C87" s="17" t="n"/>
      <c r="D87" s="18" t="n">
        <v>2085341</v>
      </c>
      <c r="E87" s="17" t="inlineStr">
        <is>
          <t xml:space="preserve"> De chemit argentina srl / varios - var / 30707509356</t>
        </is>
      </c>
      <c r="F87" s="17" t="inlineStr">
        <is>
          <t>OTRO</t>
        </is>
      </c>
    </row>
    <row r="88">
      <c r="A88" s="26" t="n">
        <v>46086</v>
      </c>
      <c r="B88" s="17" t="inlineStr">
        <is>
          <t>Transferencia recibida</t>
        </is>
      </c>
      <c r="C88" s="17" t="n"/>
      <c r="D88" s="18" t="n">
        <v>4968.94</v>
      </c>
      <c r="E88" s="17" t="inlineStr">
        <is>
          <t xml:space="preserve"> De borrell, jimena ayl n / varios - var / 27458873521</t>
        </is>
      </c>
      <c r="F88" s="17" t="inlineStr">
        <is>
          <t>OTRO</t>
        </is>
      </c>
    </row>
    <row r="89">
      <c r="A89" s="26" t="n">
        <v>46086</v>
      </c>
      <c r="B89" s="17" t="inlineStr">
        <is>
          <t>Rescate fondos comunes inversion</t>
        </is>
      </c>
      <c r="C89" s="17" t="n"/>
      <c r="D89" s="18" t="n">
        <v>6000000</v>
      </c>
      <c r="E89" s="17" t="inlineStr"/>
      <c r="F89" s="17" t="inlineStr">
        <is>
          <t>OTRO</t>
        </is>
      </c>
    </row>
    <row r="90">
      <c r="A90" s="26" t="n">
        <v>46086</v>
      </c>
      <c r="B90" s="17" t="inlineStr">
        <is>
          <t>Pago de honorarios</t>
        </is>
      </c>
      <c r="C90" s="18" t="n">
        <v>1249500</v>
      </c>
      <c r="D90" s="17" t="n"/>
      <c r="E90" s="17" t="inlineStr">
        <is>
          <t xml:space="preserve"> 2603055072</t>
        </is>
      </c>
      <c r="F90" s="17" t="inlineStr">
        <is>
          <t>HABERES</t>
        </is>
      </c>
    </row>
    <row r="91">
      <c r="A91" s="26" t="n">
        <v>46086</v>
      </c>
      <c r="B91" s="17" t="inlineStr">
        <is>
          <t>Impuesto ley 25.413 credito 0,6%</t>
        </is>
      </c>
      <c r="C91" s="18" t="n">
        <v>31677.38</v>
      </c>
      <c r="D91" s="17" t="n"/>
      <c r="E91" s="17" t="inlineStr"/>
      <c r="F91" s="17" t="inlineStr">
        <is>
          <t>LEY25413_CREDITO</t>
        </is>
      </c>
    </row>
    <row r="92">
      <c r="A92" s="26" t="n">
        <v>46086</v>
      </c>
      <c r="B92" s="17" t="inlineStr">
        <is>
          <t>Impuesto ley 25.413 debito 0,6%</t>
        </is>
      </c>
      <c r="C92" s="18" t="n">
        <v>46159.26</v>
      </c>
      <c r="D92" s="17" t="n"/>
      <c r="E92" s="17" t="inlineStr"/>
      <c r="F92" s="17" t="inlineStr">
        <is>
          <t>LEY25413_DEBITO</t>
        </is>
      </c>
    </row>
    <row r="93">
      <c r="A93" s="26" t="n">
        <v>46086</v>
      </c>
      <c r="B93" s="17" t="inlineStr">
        <is>
          <t>Comision transf otros bcos canales</t>
        </is>
      </c>
      <c r="C93" s="18" t="n">
        <v>120</v>
      </c>
      <c r="D93" s="17" t="n"/>
      <c r="E93" s="17" t="inlineStr">
        <is>
          <t xml:space="preserve"> Comision transferencias</t>
        </is>
      </c>
      <c r="F93" s="17" t="inlineStr">
        <is>
          <t>COMISION</t>
        </is>
      </c>
    </row>
    <row r="94">
      <c r="A94" s="26" t="n">
        <v>46086</v>
      </c>
      <c r="B94" s="17" t="inlineStr">
        <is>
          <t>Iva 21% reg de transfisc ley27743</t>
        </is>
      </c>
      <c r="C94" s="18" t="n">
        <v>25.2</v>
      </c>
      <c r="D94" s="17" t="n"/>
      <c r="E94" s="17" t="inlineStr"/>
      <c r="F94" s="17" t="inlineStr">
        <is>
          <t>IVA</t>
        </is>
      </c>
    </row>
    <row r="95">
      <c r="A95" s="26" t="n">
        <v>46086</v>
      </c>
      <c r="B95" s="17" t="inlineStr">
        <is>
          <t>Comision transf otros bcos canales</t>
        </is>
      </c>
      <c r="C95" s="18" t="n">
        <v>120</v>
      </c>
      <c r="D95" s="17" t="n"/>
      <c r="E95" s="17" t="inlineStr">
        <is>
          <t xml:space="preserve"> Comision transferencias</t>
        </is>
      </c>
      <c r="F95" s="17" t="inlineStr">
        <is>
          <t>COMISION</t>
        </is>
      </c>
    </row>
    <row r="96">
      <c r="A96" s="26" t="n">
        <v>46086</v>
      </c>
      <c r="B96" s="17" t="inlineStr">
        <is>
          <t>Iva 21% reg de transfisc ley27743</t>
        </is>
      </c>
      <c r="C96" s="18" t="n">
        <v>25.2</v>
      </c>
      <c r="D96" s="17" t="n"/>
      <c r="E96" s="17" t="inlineStr"/>
      <c r="F96" s="17" t="inlineStr">
        <is>
          <t>IVA</t>
        </is>
      </c>
    </row>
    <row r="97">
      <c r="A97" s="26" t="n">
        <v>46086</v>
      </c>
      <c r="B97" s="17" t="inlineStr">
        <is>
          <t>Comision transf otros bcos canales</t>
        </is>
      </c>
      <c r="C97" s="18" t="n">
        <v>720</v>
      </c>
      <c r="D97" s="17" t="n"/>
      <c r="E97" s="17" t="inlineStr">
        <is>
          <t xml:space="preserve"> Comision transferencias</t>
        </is>
      </c>
      <c r="F97" s="17" t="inlineStr">
        <is>
          <t>COMISION</t>
        </is>
      </c>
    </row>
    <row r="98">
      <c r="A98" s="26" t="n">
        <v>46086</v>
      </c>
      <c r="B98" s="17" t="inlineStr">
        <is>
          <t>Iva 21% reg de transfisc ley27743</t>
        </is>
      </c>
      <c r="C98" s="18" t="n">
        <v>151.2</v>
      </c>
      <c r="D98" s="17" t="n"/>
      <c r="E98" s="17" t="inlineStr"/>
      <c r="F98" s="17" t="inlineStr">
        <is>
          <t>IVA</t>
        </is>
      </c>
    </row>
    <row r="99">
      <c r="A99" s="26" t="n">
        <v>46086</v>
      </c>
      <c r="B99" s="17" t="inlineStr">
        <is>
          <t>Comision transf otros bcos canales</t>
        </is>
      </c>
      <c r="C99" s="18" t="n">
        <v>1485</v>
      </c>
      <c r="D99" s="17" t="n"/>
      <c r="E99" s="17" t="inlineStr">
        <is>
          <t xml:space="preserve"> Comision transferencias</t>
        </is>
      </c>
      <c r="F99" s="17" t="inlineStr">
        <is>
          <t>COMISION</t>
        </is>
      </c>
    </row>
    <row r="100">
      <c r="A100" s="26" t="n">
        <v>46086</v>
      </c>
      <c r="B100" s="17" t="inlineStr">
        <is>
          <t>Iva 21% reg de transfisc ley27743</t>
        </is>
      </c>
      <c r="C100" s="18" t="n">
        <v>311.85</v>
      </c>
      <c r="D100" s="17" t="n"/>
      <c r="E100" s="17" t="inlineStr"/>
      <c r="F100" s="17" t="inlineStr">
        <is>
          <t>IVA</t>
        </is>
      </c>
    </row>
    <row r="101">
      <c r="A101" s="26" t="n">
        <v>46086</v>
      </c>
      <c r="B101" s="17" t="inlineStr">
        <is>
          <t>Comision transf otros bcos canales</t>
        </is>
      </c>
      <c r="C101" s="18" t="n">
        <v>1485</v>
      </c>
      <c r="D101" s="17" t="n"/>
      <c r="E101" s="17" t="inlineStr">
        <is>
          <t xml:space="preserve"> Comision transferencias</t>
        </is>
      </c>
      <c r="F101" s="17" t="inlineStr">
        <is>
          <t>COMISION</t>
        </is>
      </c>
    </row>
    <row r="102">
      <c r="A102" s="26" t="n">
        <v>46086</v>
      </c>
      <c r="B102" s="17" t="inlineStr">
        <is>
          <t>Iva 21% reg de transfisc ley27743</t>
        </is>
      </c>
      <c r="C102" s="18" t="n">
        <v>311.85</v>
      </c>
      <c r="D102" s="17" t="n"/>
      <c r="E102" s="17" t="inlineStr"/>
      <c r="F102" s="17" t="inlineStr">
        <is>
          <t>IVA</t>
        </is>
      </c>
    </row>
    <row r="103">
      <c r="A103" s="26" t="n">
        <v>46086</v>
      </c>
      <c r="B103" s="17" t="inlineStr">
        <is>
          <t>Comision transf otros bcos canales</t>
        </is>
      </c>
      <c r="C103" s="18" t="n">
        <v>1485</v>
      </c>
      <c r="D103" s="17" t="n"/>
      <c r="E103" s="17" t="inlineStr">
        <is>
          <t xml:space="preserve"> Comision transferencias</t>
        </is>
      </c>
      <c r="F103" s="17" t="inlineStr">
        <is>
          <t>COMISION</t>
        </is>
      </c>
    </row>
    <row r="104">
      <c r="A104" s="26" t="n">
        <v>46086</v>
      </c>
      <c r="B104" s="17" t="inlineStr">
        <is>
          <t>Iva 21% reg de transfisc ley27743</t>
        </is>
      </c>
      <c r="C104" s="18" t="n">
        <v>311.85</v>
      </c>
      <c r="D104" s="17" t="n"/>
      <c r="E104" s="17" t="inlineStr"/>
      <c r="F104" s="17" t="inlineStr">
        <is>
          <t>IVA</t>
        </is>
      </c>
    </row>
    <row r="105">
      <c r="A105" s="26" t="n">
        <v>46086</v>
      </c>
      <c r="B105" s="17" t="inlineStr">
        <is>
          <t>Comision transf otros bcos canales</t>
        </is>
      </c>
      <c r="C105" s="18" t="n">
        <v>1485</v>
      </c>
      <c r="D105" s="17" t="n"/>
      <c r="E105" s="17" t="inlineStr">
        <is>
          <t xml:space="preserve"> Comision transferencias</t>
        </is>
      </c>
      <c r="F105" s="17" t="inlineStr">
        <is>
          <t>COMISION</t>
        </is>
      </c>
    </row>
    <row r="106">
      <c r="A106" s="26" t="n">
        <v>46086</v>
      </c>
      <c r="B106" s="17" t="inlineStr">
        <is>
          <t>Iva 21% reg de transfisc ley27743</t>
        </is>
      </c>
      <c r="C106" s="18" t="n">
        <v>311.85</v>
      </c>
      <c r="D106" s="17" t="n"/>
      <c r="E106" s="17" t="inlineStr"/>
      <c r="F106" s="17" t="inlineStr">
        <is>
          <t>IVA</t>
        </is>
      </c>
    </row>
    <row r="107">
      <c r="A107" s="26" t="n">
        <v>46086</v>
      </c>
      <c r="B107" s="17" t="inlineStr">
        <is>
          <t>Regimen de recaudacion sircreb n</t>
        </is>
      </c>
      <c r="C107" s="18" t="n">
        <v>63354.76</v>
      </c>
      <c r="D107" s="17" t="n"/>
      <c r="E107" s="17" t="inlineStr">
        <is>
          <t xml:space="preserve"> Resp:30626629942 / 1,20% sobre</t>
        </is>
      </c>
      <c r="F107" s="17" t="inlineStr">
        <is>
          <t>RET_SIRCREB</t>
        </is>
      </c>
    </row>
    <row r="108">
      <c r="A108" s="26" t="n">
        <v>46086</v>
      </c>
      <c r="B108" s="17" t="inlineStr">
        <is>
          <t>Adelanto iibb tuc letra h</t>
        </is>
      </c>
      <c r="C108" s="18" t="n">
        <v>3668.82</v>
      </c>
      <c r="D108" s="17" t="n"/>
      <c r="E108" s="17" t="inlineStr">
        <is>
          <t xml:space="preserve"> Resp:30626629942 / 0,12% sobre</t>
        </is>
      </c>
      <c r="F108" s="17" t="inlineStr">
        <is>
          <t>RET_IIBB_TUCUMAN</t>
        </is>
      </c>
    </row>
    <row r="109">
      <c r="A109" s="26" t="n">
        <v>46087</v>
      </c>
      <c r="B109" s="17" t="inlineStr">
        <is>
          <t>Pago comercios getnet nro.liq.</t>
        </is>
      </c>
      <c r="C109" s="17" t="n"/>
      <c r="D109" s="18" t="n">
        <v>29445.21</v>
      </c>
      <c r="E109" s="17" t="inlineStr">
        <is>
          <t xml:space="preserve"> 00003805/000000000008581</t>
        </is>
      </c>
      <c r="F109" s="17" t="inlineStr">
        <is>
          <t>OTRO</t>
        </is>
      </c>
    </row>
    <row r="110">
      <c r="A110" s="26" t="n">
        <v>46087</v>
      </c>
      <c r="B110" s="17" t="inlineStr">
        <is>
          <t>Pago a proveedores recibido</t>
        </is>
      </c>
      <c r="C110" s="17" t="n"/>
      <c r="D110" s="18" t="n">
        <v>65385.6</v>
      </c>
      <c r="E110" s="17" t="inlineStr">
        <is>
          <t xml:space="preserve"> Los vascos srl 30708935324 03 0215438</t>
        </is>
      </c>
      <c r="F110" s="17" t="inlineStr">
        <is>
          <t>OTRO</t>
        </is>
      </c>
    </row>
    <row r="111">
      <c r="A111" s="26" t="n">
        <v>46087</v>
      </c>
      <c r="B111" s="17" t="inlineStr">
        <is>
          <t>Transf recibida cvu dif titular</t>
        </is>
      </c>
      <c r="C111" s="17" t="n"/>
      <c r="D111" s="18" t="n">
        <v>692835</v>
      </c>
      <c r="E111" s="17" t="inlineStr">
        <is>
          <t xml:space="preserve"> De norma noemi miceli / uala /27164133228</t>
        </is>
      </c>
      <c r="F111" s="17" t="inlineStr">
        <is>
          <t>OTRO</t>
        </is>
      </c>
    </row>
    <row r="112">
      <c r="A112" s="26" t="n">
        <v>46087</v>
      </c>
      <c r="B112" s="17" t="inlineStr">
        <is>
          <t>Pago comercios getnet nro.liq.</t>
        </is>
      </c>
      <c r="C112" s="17" t="n"/>
      <c r="D112" s="18" t="n">
        <v>130791.44</v>
      </c>
      <c r="E112" s="17" t="inlineStr">
        <is>
          <t xml:space="preserve"> 00005536/000000000008581</t>
        </is>
      </c>
      <c r="F112" s="17" t="inlineStr">
        <is>
          <t>OTRO</t>
        </is>
      </c>
    </row>
    <row r="113">
      <c r="A113" s="26" t="n">
        <v>46087</v>
      </c>
      <c r="B113" s="17" t="inlineStr">
        <is>
          <t>Transferencia recibida</t>
        </is>
      </c>
      <c r="C113" s="17" t="n"/>
      <c r="D113" s="18" t="n">
        <v>14984.42</v>
      </c>
      <c r="E113" s="17" t="inlineStr">
        <is>
          <t xml:space="preserve"> De cignoli, agustina / varios - var / 27448584653</t>
        </is>
      </c>
      <c r="F113" s="17" t="inlineStr">
        <is>
          <t>OTRO</t>
        </is>
      </c>
    </row>
    <row r="114">
      <c r="A114" s="26" t="n">
        <v>46087</v>
      </c>
      <c r="B114" s="17" t="inlineStr">
        <is>
          <t>Transf recibida cvu dif titular</t>
        </is>
      </c>
      <c r="C114" s="17" t="n"/>
      <c r="D114" s="18" t="n">
        <v>17535.62</v>
      </c>
      <c r="E114" s="17" t="inlineStr">
        <is>
          <t xml:space="preserve"> De sofia bello / prex /27461493667</t>
        </is>
      </c>
      <c r="F114" s="17" t="inlineStr">
        <is>
          <t>OTRO</t>
        </is>
      </c>
    </row>
    <row r="115">
      <c r="A115" s="26" t="n">
        <v>46087</v>
      </c>
      <c r="B115" s="17" t="inlineStr">
        <is>
          <t>Pago a proveedores recibido</t>
        </is>
      </c>
      <c r="C115" s="17" t="n"/>
      <c r="D115" s="18" t="n">
        <v>686920.15</v>
      </c>
      <c r="E115" s="17" t="inlineStr">
        <is>
          <t xml:space="preserve"> Francisco h. walz s.c.a. 30544210803 03 0229433</t>
        </is>
      </c>
      <c r="F115" s="17" t="inlineStr">
        <is>
          <t>OTRO</t>
        </is>
      </c>
    </row>
    <row r="116">
      <c r="A116" s="26" t="n">
        <v>46087</v>
      </c>
      <c r="B116" s="17" t="inlineStr">
        <is>
          <t>Transferencia recibida</t>
        </is>
      </c>
      <c r="C116" s="17" t="n"/>
      <c r="D116" s="18" t="n">
        <v>33984.64</v>
      </c>
      <c r="E116" s="17" t="inlineStr">
        <is>
          <t xml:space="preserve"> De arias,analia natali / transf - var / 27323476905</t>
        </is>
      </c>
      <c r="F116" s="17" t="inlineStr">
        <is>
          <t>OTRO</t>
        </is>
      </c>
    </row>
    <row r="117">
      <c r="A117" s="26" t="n">
        <v>46087</v>
      </c>
      <c r="B117" s="17" t="inlineStr">
        <is>
          <t>Transferencia recibida</t>
        </is>
      </c>
      <c r="C117" s="17" t="n"/>
      <c r="D117" s="18" t="n">
        <v>11188.66</v>
      </c>
      <c r="E117" s="17" t="inlineStr">
        <is>
          <t xml:space="preserve"> De violeta cardozo / - var / 27462112535</t>
        </is>
      </c>
      <c r="F117" s="17" t="inlineStr">
        <is>
          <t>OTRO</t>
        </is>
      </c>
    </row>
    <row r="118">
      <c r="A118" s="26" t="n">
        <v>46087</v>
      </c>
      <c r="B118" s="17" t="inlineStr">
        <is>
          <t>Pago a proveedores recibido</t>
        </is>
      </c>
      <c r="C118" s="17" t="n"/>
      <c r="D118" s="18" t="n">
        <v>3170890.8</v>
      </c>
      <c r="E118" s="17" t="inlineStr">
        <is>
          <t xml:space="preserve"> Puna bio s a 33716924969 03 3431718</t>
        </is>
      </c>
      <c r="F118" s="17" t="inlineStr">
        <is>
          <t>OTRO</t>
        </is>
      </c>
    </row>
    <row r="119">
      <c r="A119" s="26" t="n">
        <v>46087</v>
      </c>
      <c r="B119" s="17" t="inlineStr">
        <is>
          <t>Suscripcion fondos comunes invers</t>
        </is>
      </c>
      <c r="C119" s="18" t="n">
        <v>9000000</v>
      </c>
      <c r="D119" s="17" t="n"/>
      <c r="E119" s="17" t="inlineStr"/>
      <c r="F119" s="17" t="inlineStr">
        <is>
          <t>OTRO</t>
        </is>
      </c>
    </row>
    <row r="120">
      <c r="A120" s="26" t="n">
        <v>46087</v>
      </c>
      <c r="B120" s="17" t="inlineStr">
        <is>
          <t>Transferencia recibida</t>
        </is>
      </c>
      <c r="C120" s="17" t="n"/>
      <c r="D120" s="18" t="n">
        <v>12069.75</v>
      </c>
      <c r="E120" s="17" t="inlineStr">
        <is>
          <t xml:space="preserve"> De azul/a bulacio / - var / 27445948727</t>
        </is>
      </c>
      <c r="F120" s="17" t="inlineStr">
        <is>
          <t>OTRO</t>
        </is>
      </c>
    </row>
    <row r="121">
      <c r="A121" s="26" t="n">
        <v>46087</v>
      </c>
      <c r="B121" s="17" t="inlineStr">
        <is>
          <t>Credito transf online banking emp</t>
        </is>
      </c>
      <c r="C121" s="17" t="n"/>
      <c r="D121" s="18" t="n">
        <v>28606.25</v>
      </c>
      <c r="E121" s="17" t="inlineStr">
        <is>
          <t xml:space="preserve"> De ingredients solutions / varios - var / 30708432071</t>
        </is>
      </c>
      <c r="F121" s="17" t="inlineStr">
        <is>
          <t>OTRO</t>
        </is>
      </c>
    </row>
    <row r="122">
      <c r="A122" s="26" t="n">
        <v>46087</v>
      </c>
      <c r="B122" s="17" t="inlineStr">
        <is>
          <t>Transferencia recibida</t>
        </is>
      </c>
      <c r="C122" s="17" t="n"/>
      <c r="D122" s="18" t="n">
        <v>26218.89</v>
      </c>
      <c r="E122" s="17" t="inlineStr">
        <is>
          <t xml:space="preserve"> De pacheco/geronimo / - var / 20250601167</t>
        </is>
      </c>
      <c r="F122" s="17" t="inlineStr">
        <is>
          <t>OTRO</t>
        </is>
      </c>
    </row>
    <row r="123">
      <c r="A123" s="26" t="n">
        <v>46087</v>
      </c>
      <c r="B123" s="17" t="inlineStr">
        <is>
          <t>Transferencia recibida</t>
        </is>
      </c>
      <c r="C123" s="17" t="n"/>
      <c r="D123" s="18" t="n">
        <v>15080</v>
      </c>
      <c r="E123" s="17" t="inlineStr">
        <is>
          <t xml:space="preserve"> De sofia carolina arzuza / - var / 27961822357</t>
        </is>
      </c>
      <c r="F123" s="17" t="inlineStr">
        <is>
          <t>OTRO</t>
        </is>
      </c>
    </row>
    <row r="124">
      <c r="A124" s="26" t="n">
        <v>46087</v>
      </c>
      <c r="B124" s="17" t="inlineStr">
        <is>
          <t>Transf minorista recibida snp</t>
        </is>
      </c>
      <c r="C124" s="17" t="n"/>
      <c r="D124" s="18" t="n">
        <v>2051329.44</v>
      </c>
      <c r="E124" s="17" t="inlineStr">
        <is>
          <t xml:space="preserve"> Microsules arge 30519887335 fac</t>
        </is>
      </c>
      <c r="F124" s="17" t="inlineStr">
        <is>
          <t>OTRO</t>
        </is>
      </c>
    </row>
    <row r="125">
      <c r="A125" s="26" t="n">
        <v>46087</v>
      </c>
      <c r="B125" s="17" t="inlineStr">
        <is>
          <t>Impuesto ley 25.413 debito 0,6%</t>
        </is>
      </c>
      <c r="C125" s="18" t="n">
        <v>452.23</v>
      </c>
      <c r="D125" s="17" t="n"/>
      <c r="E125" s="17" t="inlineStr"/>
      <c r="F125" s="17" t="inlineStr">
        <is>
          <t>LEY25413_DEBITO</t>
        </is>
      </c>
    </row>
    <row r="126">
      <c r="A126" s="26" t="n">
        <v>46087</v>
      </c>
      <c r="B126" s="17" t="inlineStr">
        <is>
          <t>Impuesto ley 25.413 credito 0,6%</t>
        </is>
      </c>
      <c r="C126" s="18" t="n">
        <v>41923.59</v>
      </c>
      <c r="D126" s="17" t="n"/>
      <c r="E126" s="17" t="inlineStr"/>
      <c r="F126" s="17" t="inlineStr">
        <is>
          <t>LEY25413_CREDITO</t>
        </is>
      </c>
    </row>
    <row r="127">
      <c r="A127" s="26" t="n">
        <v>46087</v>
      </c>
      <c r="B127" s="17" t="inlineStr">
        <is>
          <t>Adelanto iibb tuc letra h</t>
        </is>
      </c>
      <c r="C127" s="18" t="n">
        <v>8158.1</v>
      </c>
      <c r="D127" s="17" t="n"/>
      <c r="E127" s="17" t="inlineStr">
        <is>
          <t xml:space="preserve"> Resp:30626629942 / 0,12% sobre</t>
        </is>
      </c>
      <c r="F127" s="17" t="inlineStr">
        <is>
          <t>RET_IIBB_TUCUMAN</t>
        </is>
      </c>
    </row>
    <row r="128">
      <c r="A128" s="26" t="n">
        <v>46087</v>
      </c>
      <c r="B128" s="17" t="inlineStr">
        <is>
          <t>Regimen de recaudacion sircreb n</t>
        </is>
      </c>
      <c r="C128" s="18" t="n">
        <v>83847.2</v>
      </c>
      <c r="D128" s="17" t="n"/>
      <c r="E128" s="17" t="inlineStr">
        <is>
          <t xml:space="preserve"> Resp:30626629942 / 1,20% sobre</t>
        </is>
      </c>
      <c r="F128" s="17" t="inlineStr">
        <is>
          <t>RET_SIRCREB</t>
        </is>
      </c>
    </row>
    <row r="129">
      <c r="A129" s="26" t="n">
        <v>46088</v>
      </c>
      <c r="B129" s="17" t="inlineStr">
        <is>
          <t>Transferencia recibida</t>
        </is>
      </c>
      <c r="C129" s="17" t="n"/>
      <c r="D129" s="18" t="n">
        <v>11110.9</v>
      </c>
      <c r="E129" s="17" t="inlineStr">
        <is>
          <t xml:space="preserve"> De ledesma ana suyay / 7626 - var / 27467497389</t>
        </is>
      </c>
      <c r="F129" s="17" t="inlineStr">
        <is>
          <t>OTRO</t>
        </is>
      </c>
    </row>
    <row r="130">
      <c r="A130" s="26" t="n">
        <v>46089</v>
      </c>
      <c r="B130" s="17" t="inlineStr">
        <is>
          <t>Transferencia ctas mobile banking</t>
        </is>
      </c>
      <c r="C130" s="17" t="n"/>
      <c r="D130" s="18" t="n">
        <v>9257.52</v>
      </c>
      <c r="E130" s="17" t="inlineStr">
        <is>
          <t xml:space="preserve"> De claudia de luca / varios - var / 23252269584</t>
        </is>
      </c>
      <c r="F130" s="17" t="inlineStr">
        <is>
          <t>OTRO</t>
        </is>
      </c>
    </row>
    <row r="131">
      <c r="A131" s="26" t="n">
        <v>46090</v>
      </c>
      <c r="B131" s="17" t="inlineStr">
        <is>
          <t>Deposito echeq otro banco 48hs</t>
        </is>
      </c>
      <c r="C131" s="17" t="n"/>
      <c r="D131" s="18" t="n">
        <v>530751.65</v>
      </c>
      <c r="E131" s="17" t="inlineStr"/>
      <c r="F131" s="17" t="inlineStr">
        <is>
          <t>OTRO</t>
        </is>
      </c>
    </row>
    <row r="132">
      <c r="A132" s="26" t="n">
        <v>46090</v>
      </c>
      <c r="B132" s="17" t="inlineStr">
        <is>
          <t>Deposito e-cheq 48hs presencia bsr</t>
        </is>
      </c>
      <c r="C132" s="17" t="n"/>
      <c r="D132" s="18" t="n">
        <v>625867.8100000001</v>
      </c>
      <c r="E132" s="17" t="inlineStr"/>
      <c r="F132" s="17" t="inlineStr">
        <is>
          <t>OTRO</t>
        </is>
      </c>
    </row>
    <row r="133">
      <c r="A133" s="26" t="n">
        <v>46090</v>
      </c>
      <c r="B133" s="17" t="inlineStr">
        <is>
          <t>Comision compensacion cheques cfu</t>
        </is>
      </c>
      <c r="C133" s="18" t="n">
        <v>4381.07</v>
      </c>
      <c r="D133" s="17" t="n"/>
      <c r="E133" s="17" t="inlineStr"/>
      <c r="F133" s="17" t="inlineStr">
        <is>
          <t>COMISION</t>
        </is>
      </c>
    </row>
    <row r="134">
      <c r="A134" s="26" t="n">
        <v>46090</v>
      </c>
      <c r="B134" s="17" t="inlineStr">
        <is>
          <t>Percepcion ingresos brutos caba</t>
        </is>
      </c>
      <c r="C134" s="18" t="n">
        <v>219.05</v>
      </c>
      <c r="D134" s="17" t="n"/>
      <c r="E134" s="17" t="inlineStr"/>
      <c r="F134" s="17" t="inlineStr">
        <is>
          <t>PERC_IIBB</t>
        </is>
      </c>
    </row>
    <row r="135">
      <c r="A135" s="26" t="n">
        <v>46090</v>
      </c>
      <c r="B135" s="17" t="inlineStr">
        <is>
          <t>Iva 21% reg de transfisc ley27743</t>
        </is>
      </c>
      <c r="C135" s="18" t="n">
        <v>920.02</v>
      </c>
      <c r="D135" s="17" t="n"/>
      <c r="E135" s="17" t="inlineStr"/>
      <c r="F135" s="17" t="inlineStr">
        <is>
          <t>IVA</t>
        </is>
      </c>
    </row>
    <row r="136">
      <c r="A136" s="26" t="n">
        <v>46090</v>
      </c>
      <c r="B136" s="17" t="inlineStr">
        <is>
          <t>Iva percepcion rg 2408</t>
        </is>
      </c>
      <c r="C136" s="18" t="n">
        <v>131.43</v>
      </c>
      <c r="D136" s="17" t="n"/>
      <c r="E136" s="17" t="inlineStr"/>
      <c r="F136" s="17" t="inlineStr">
        <is>
          <t>IVA</t>
        </is>
      </c>
    </row>
    <row r="137">
      <c r="A137" s="26" t="n">
        <v>46090</v>
      </c>
      <c r="B137" s="17" t="inlineStr">
        <is>
          <t>Pago comercios getnet nro.liq.</t>
        </is>
      </c>
      <c r="C137" s="17" t="n"/>
      <c r="D137" s="18" t="n">
        <v>709282.98</v>
      </c>
      <c r="E137" s="17" t="inlineStr">
        <is>
          <t xml:space="preserve"> 00004193/000000000008581</t>
        </is>
      </c>
      <c r="F137" s="17" t="inlineStr">
        <is>
          <t>OTRO</t>
        </is>
      </c>
    </row>
    <row r="138">
      <c r="A138" s="26" t="n">
        <v>46090</v>
      </c>
      <c r="B138" s="17" t="inlineStr">
        <is>
          <t>Pago comercios getnet nro.liq.</t>
        </is>
      </c>
      <c r="C138" s="17" t="n"/>
      <c r="D138" s="18" t="n">
        <v>119664.46</v>
      </c>
      <c r="E138" s="17" t="inlineStr">
        <is>
          <t xml:space="preserve"> 00006140/000000000008581</t>
        </is>
      </c>
      <c r="F138" s="17" t="inlineStr">
        <is>
          <t>OTRO</t>
        </is>
      </c>
    </row>
    <row r="139">
      <c r="A139" s="26" t="n">
        <v>46090</v>
      </c>
      <c r="B139" s="17" t="inlineStr">
        <is>
          <t>Pago a proveedores recibido</t>
        </is>
      </c>
      <c r="C139" s="17" t="n"/>
      <c r="D139" s="18" t="n">
        <v>383868.6</v>
      </c>
      <c r="E139" s="17" t="inlineStr">
        <is>
          <t xml:space="preserve"> Cnc donelab srl 30715368850 03 1819671</t>
        </is>
      </c>
      <c r="F139" s="17" t="inlineStr">
        <is>
          <t>OTRO</t>
        </is>
      </c>
    </row>
    <row r="140">
      <c r="A140" s="26" t="n">
        <v>46090</v>
      </c>
      <c r="B140" s="17" t="inlineStr">
        <is>
          <t>Pago de servicios</t>
        </is>
      </c>
      <c r="C140" s="17" t="n"/>
      <c r="D140" s="18" t="n">
        <v>26415466.68</v>
      </c>
      <c r="E140" s="17" t="inlineStr">
        <is>
          <t xml:space="preserve"> Imp.afip: 3062662994213530522</t>
        </is>
      </c>
      <c r="F140" s="17" t="inlineStr">
        <is>
          <t>OTRO</t>
        </is>
      </c>
    </row>
    <row r="141">
      <c r="A141" s="26" t="n">
        <v>46090</v>
      </c>
      <c r="B141" s="17" t="inlineStr">
        <is>
          <t>Pago de servicios</t>
        </is>
      </c>
      <c r="C141" s="17" t="n"/>
      <c r="D141" s="18" t="n">
        <v>99627.86</v>
      </c>
      <c r="E141" s="17" t="inlineStr">
        <is>
          <t xml:space="preserve"> Visa: 4937620000162607</t>
        </is>
      </c>
      <c r="F141" s="17" t="inlineStr">
        <is>
          <t>OTRO</t>
        </is>
      </c>
    </row>
    <row r="142">
      <c r="A142" s="26" t="n">
        <v>46090</v>
      </c>
      <c r="B142" s="17" t="inlineStr">
        <is>
          <t>Transferencia recibida</t>
        </is>
      </c>
      <c r="C142" s="18" t="n">
        <v>4203.18</v>
      </c>
      <c r="D142" s="17" t="n"/>
      <c r="E142" s="17" t="inlineStr">
        <is>
          <t xml:space="preserve"> De martinez,ana clara / transf - var / 23455252024</t>
        </is>
      </c>
      <c r="F142" s="17" t="inlineStr">
        <is>
          <t>OTRO</t>
        </is>
      </c>
    </row>
    <row r="143">
      <c r="A143" s="26" t="n">
        <v>46090</v>
      </c>
      <c r="B143" s="17" t="inlineStr">
        <is>
          <t>Transferencia realizada</t>
        </is>
      </c>
      <c r="C143" s="17" t="n"/>
      <c r="D143" s="18" t="n">
        <v>124614</v>
      </c>
      <c r="E143" s="17" t="inlineStr">
        <is>
          <t xml:space="preserve"> A exponenciar sa / factura - fac / 33715346309</t>
        </is>
      </c>
      <c r="F143" s="17" t="inlineStr">
        <is>
          <t>OTRO</t>
        </is>
      </c>
    </row>
    <row r="144">
      <c r="A144" s="26" t="n">
        <v>46090</v>
      </c>
      <c r="B144" s="17" t="inlineStr">
        <is>
          <t>Pago a proveedores recibido</t>
        </is>
      </c>
      <c r="C144" s="18" t="n">
        <v>1221564</v>
      </c>
      <c r="D144" s="17" t="n"/>
      <c r="E144" s="17" t="inlineStr">
        <is>
          <t xml:space="preserve"> Energia renovable sa 33711594499 03 3056140</t>
        </is>
      </c>
      <c r="F144" s="17" t="inlineStr">
        <is>
          <t>OTRO</t>
        </is>
      </c>
    </row>
    <row r="145">
      <c r="A145" s="26" t="n">
        <v>46090</v>
      </c>
      <c r="B145" s="17" t="inlineStr">
        <is>
          <t>Credito transf online banking emp</t>
        </is>
      </c>
      <c r="C145" s="18" t="n">
        <v>276530.8</v>
      </c>
      <c r="D145" s="17" t="n"/>
      <c r="E145" s="17" t="inlineStr">
        <is>
          <t xml:space="preserve"> De apolo biotech sas / - fac / 30717631133</t>
        </is>
      </c>
      <c r="F145" s="17" t="inlineStr">
        <is>
          <t>OTRO</t>
        </is>
      </c>
    </row>
    <row r="146">
      <c r="A146" s="26" t="n">
        <v>46090</v>
      </c>
      <c r="B146" s="17" t="inlineStr">
        <is>
          <t>Transf recibida cvu dif titular</t>
        </is>
      </c>
      <c r="C146" s="18" t="n">
        <v>7417</v>
      </c>
      <c r="D146" s="17" t="n"/>
      <c r="E146" s="17" t="inlineStr">
        <is>
          <t xml:space="preserve"> De alison joaquina mendoza n/ uala /27944736919</t>
        </is>
      </c>
      <c r="F146" s="17" t="inlineStr">
        <is>
          <t>OTRO</t>
        </is>
      </c>
    </row>
    <row r="147">
      <c r="A147" s="26" t="n">
        <v>46090</v>
      </c>
      <c r="B147" s="17" t="inlineStr">
        <is>
          <t>Transferencia ctas mobile banking</t>
        </is>
      </c>
      <c r="C147" s="18" t="n">
        <v>20030.88</v>
      </c>
      <c r="D147" s="17" t="n"/>
      <c r="E147" s="17" t="inlineStr">
        <is>
          <t xml:space="preserve"> De roxana natalia polack / varios - var / 27296849052</t>
        </is>
      </c>
      <c r="F147" s="17" t="inlineStr">
        <is>
          <t>OTRO</t>
        </is>
      </c>
    </row>
    <row r="148">
      <c r="A148" s="26" t="n">
        <v>46090</v>
      </c>
      <c r="B148" s="17" t="inlineStr">
        <is>
          <t>Rescate fondos comunes inversion</t>
        </is>
      </c>
      <c r="C148" s="18" t="n">
        <v>23500000</v>
      </c>
      <c r="D148" s="17" t="n"/>
      <c r="E148" s="17" t="inlineStr"/>
      <c r="F148" s="17" t="inlineStr">
        <is>
          <t>OTRO</t>
        </is>
      </c>
    </row>
    <row r="149">
      <c r="A149" s="26" t="n">
        <v>46090</v>
      </c>
      <c r="B149" s="17" t="inlineStr">
        <is>
          <t>Deposito echeq canje interno 24hs</t>
        </is>
      </c>
      <c r="C149" s="17" t="n"/>
      <c r="D149" s="18" t="n">
        <v>597001.8</v>
      </c>
      <c r="E149" s="17" t="inlineStr"/>
      <c r="F149" s="17" t="inlineStr">
        <is>
          <t>OTRO</t>
        </is>
      </c>
    </row>
    <row r="150">
      <c r="A150" s="26" t="n">
        <v>46090</v>
      </c>
      <c r="B150" s="17" t="inlineStr">
        <is>
          <t>Impuesto ley 25.413 debito 0,6%</t>
        </is>
      </c>
      <c r="C150" s="18" t="n">
        <v>160424.19</v>
      </c>
      <c r="D150" s="17" t="n"/>
      <c r="E150" s="17" t="inlineStr"/>
      <c r="F150" s="17" t="inlineStr">
        <is>
          <t>LEY25413_DEBITO</t>
        </is>
      </c>
    </row>
    <row r="151">
      <c r="A151" s="26" t="n">
        <v>46090</v>
      </c>
      <c r="B151" s="17" t="inlineStr">
        <is>
          <t>Impuesto ley 25.413 credito 0,6%</t>
        </is>
      </c>
      <c r="C151" s="18" t="n">
        <v>27099.32</v>
      </c>
      <c r="D151" s="17" t="n"/>
      <c r="E151" s="17" t="inlineStr"/>
      <c r="F151" s="17" t="inlineStr">
        <is>
          <t>LEY25413_CREDITO</t>
        </is>
      </c>
    </row>
    <row r="152">
      <c r="A152" s="26" t="n">
        <v>46090</v>
      </c>
      <c r="B152" s="17" t="inlineStr">
        <is>
          <t>Comision transf otros bcos canales</t>
        </is>
      </c>
      <c r="C152" s="18" t="n">
        <v>720</v>
      </c>
      <c r="D152" s="17" t="n"/>
      <c r="E152" s="17" t="inlineStr">
        <is>
          <t xml:space="preserve"> Comision transferencias</t>
        </is>
      </c>
      <c r="F152" s="17" t="inlineStr">
        <is>
          <t>COMISION</t>
        </is>
      </c>
    </row>
    <row r="153">
      <c r="A153" s="26" t="n">
        <v>46090</v>
      </c>
      <c r="B153" s="17" t="inlineStr">
        <is>
          <t>Iva 21% reg de transfisc ley27743</t>
        </is>
      </c>
      <c r="C153" s="18" t="n">
        <v>151.2</v>
      </c>
      <c r="D153" s="17" t="n"/>
      <c r="E153" s="17" t="inlineStr"/>
      <c r="F153" s="17" t="inlineStr">
        <is>
          <t>IVA</t>
        </is>
      </c>
    </row>
    <row r="154">
      <c r="A154" s="26" t="n">
        <v>46090</v>
      </c>
      <c r="B154" s="17" t="inlineStr">
        <is>
          <t>Regimen de recaudacion sircreb n</t>
        </is>
      </c>
      <c r="C154" s="18" t="n">
        <v>54198.61</v>
      </c>
      <c r="D154" s="17" t="n"/>
      <c r="E154" s="17" t="inlineStr">
        <is>
          <t xml:space="preserve"> Resp:30626629942 / 1,20% sobre</t>
        </is>
      </c>
      <c r="F154" s="17" t="inlineStr">
        <is>
          <t>RET_SIRCREB</t>
        </is>
      </c>
    </row>
    <row r="155">
      <c r="A155" s="26" t="n">
        <v>46090</v>
      </c>
      <c r="B155" s="17" t="inlineStr">
        <is>
          <t>Adelanto iibb tuc letra h</t>
        </is>
      </c>
      <c r="C155" s="18" t="n">
        <v>4093.28</v>
      </c>
      <c r="D155" s="17" t="n"/>
      <c r="E155" s="17" t="inlineStr">
        <is>
          <t xml:space="preserve"> Resp:30626629942 / 0,12% sobre</t>
        </is>
      </c>
      <c r="F155" s="17" t="inlineStr">
        <is>
          <t>RET_IIBB_TUCUMAN</t>
        </is>
      </c>
    </row>
    <row r="156">
      <c r="A156" s="26" t="n">
        <v>46091</v>
      </c>
      <c r="B156" s="17" t="inlineStr">
        <is>
          <t>Deposito echeq otro banco 48hs</t>
        </is>
      </c>
      <c r="C156" s="17" t="n"/>
      <c r="D156" s="18" t="n">
        <v>225561.43</v>
      </c>
      <c r="E156" s="17" t="inlineStr"/>
      <c r="F156" s="17" t="inlineStr">
        <is>
          <t>OTRO</t>
        </is>
      </c>
    </row>
    <row r="157">
      <c r="A157" s="26" t="n">
        <v>46091</v>
      </c>
      <c r="B157" s="17" t="inlineStr">
        <is>
          <t>Cfu depecheq val cobro sin presenc</t>
        </is>
      </c>
      <c r="C157" s="17" t="n"/>
      <c r="D157" s="18" t="n">
        <v>590000</v>
      </c>
      <c r="E157" s="17" t="inlineStr"/>
      <c r="F157" s="17" t="inlineStr">
        <is>
          <t>OTRO</t>
        </is>
      </c>
    </row>
    <row r="158">
      <c r="A158" s="26" t="n">
        <v>46091</v>
      </c>
      <c r="B158" s="17" t="inlineStr">
        <is>
          <t>Pago comercios getnet nro.liq.</t>
        </is>
      </c>
      <c r="C158" s="17" t="n"/>
      <c r="D158" s="18" t="n">
        <v>58802.63</v>
      </c>
      <c r="E158" s="17" t="inlineStr">
        <is>
          <t xml:space="preserve"> 00003770/000000000008581</t>
        </is>
      </c>
      <c r="F158" s="17" t="inlineStr">
        <is>
          <t>OTRO</t>
        </is>
      </c>
    </row>
    <row r="159">
      <c r="A159" s="26" t="n">
        <v>46091</v>
      </c>
      <c r="B159" s="17" t="inlineStr">
        <is>
          <t>Debito automatico</t>
        </is>
      </c>
      <c r="C159" s="18" t="n">
        <v>17695</v>
      </c>
      <c r="D159" s="17" t="n"/>
      <c r="E159" s="17" t="inlineStr">
        <is>
          <t xml:space="preserve"> Direccion gral d-022211035646</t>
        </is>
      </c>
      <c r="F159" s="17" t="inlineStr">
        <is>
          <t>DEB_AUTOMATICO</t>
        </is>
      </c>
    </row>
    <row r="160">
      <c r="A160" s="26" t="n">
        <v>46091</v>
      </c>
      <c r="B160" s="17" t="inlineStr">
        <is>
          <t>Comision compensacion cheques cfu</t>
        </is>
      </c>
      <c r="C160" s="18" t="n">
        <v>8260</v>
      </c>
      <c r="D160" s="17" t="n"/>
      <c r="E160" s="17" t="inlineStr"/>
      <c r="F160" s="17" t="inlineStr">
        <is>
          <t>COMISION</t>
        </is>
      </c>
    </row>
    <row r="161">
      <c r="A161" s="26" t="n">
        <v>46091</v>
      </c>
      <c r="B161" s="17" t="inlineStr">
        <is>
          <t>Percepcion ingresos brutos caba</t>
        </is>
      </c>
      <c r="C161" s="18" t="n">
        <v>413</v>
      </c>
      <c r="D161" s="17" t="n"/>
      <c r="E161" s="17" t="inlineStr"/>
      <c r="F161" s="17" t="inlineStr">
        <is>
          <t>PERC_IIBB</t>
        </is>
      </c>
    </row>
    <row r="162">
      <c r="A162" s="26" t="n">
        <v>46091</v>
      </c>
      <c r="B162" s="17" t="inlineStr">
        <is>
          <t>Iva 21% reg de transfisc ley27743</t>
        </is>
      </c>
      <c r="C162" s="18" t="n">
        <v>1734.6</v>
      </c>
      <c r="D162" s="17" t="n"/>
      <c r="E162" s="17" t="inlineStr"/>
      <c r="F162" s="17" t="inlineStr">
        <is>
          <t>IVA</t>
        </is>
      </c>
    </row>
    <row r="163">
      <c r="A163" s="26" t="n">
        <v>46091</v>
      </c>
      <c r="B163" s="17" t="inlineStr">
        <is>
          <t>Iva percepcion rg 2408</t>
        </is>
      </c>
      <c r="C163" s="18" t="n">
        <v>247.8</v>
      </c>
      <c r="D163" s="17" t="n"/>
      <c r="E163" s="17" t="inlineStr"/>
      <c r="F163" s="17" t="inlineStr">
        <is>
          <t>IVA</t>
        </is>
      </c>
    </row>
    <row r="164">
      <c r="A164" s="26" t="n">
        <v>46091</v>
      </c>
      <c r="B164" s="17" t="inlineStr">
        <is>
          <t>Credito transf online banking emp</t>
        </is>
      </c>
      <c r="C164" s="17" t="n"/>
      <c r="D164" s="18" t="n">
        <v>1024647.4</v>
      </c>
      <c r="E164" s="17" t="inlineStr">
        <is>
          <t xml:space="preserve"> De chemit argentina srl / varios - var / 30707509356</t>
        </is>
      </c>
      <c r="F164" s="17" t="inlineStr">
        <is>
          <t>OTRO</t>
        </is>
      </c>
    </row>
    <row r="165">
      <c r="A165" s="26" t="n">
        <v>46091</v>
      </c>
      <c r="B165" s="17" t="inlineStr">
        <is>
          <t>Pago comercios getnet nro.liq.</t>
        </is>
      </c>
      <c r="C165" s="17" t="n"/>
      <c r="D165" s="18" t="n">
        <v>253589.73</v>
      </c>
      <c r="E165" s="17" t="inlineStr">
        <is>
          <t xml:space="preserve"> 00007097/000000000008581</t>
        </is>
      </c>
      <c r="F165" s="17" t="inlineStr">
        <is>
          <t>OTRO</t>
        </is>
      </c>
    </row>
    <row r="166">
      <c r="A166" s="26" t="n">
        <v>46091</v>
      </c>
      <c r="B166" s="17" t="inlineStr">
        <is>
          <t>Transferencia recibida</t>
        </is>
      </c>
      <c r="C166" s="17" t="n"/>
      <c r="D166" s="18" t="n">
        <v>236436.76</v>
      </c>
      <c r="E166" s="17" t="inlineStr">
        <is>
          <t xml:space="preserve"> De univ.nac.de s.luis / op 915 - var / 30577357532</t>
        </is>
      </c>
      <c r="F166" s="17" t="inlineStr">
        <is>
          <t>OTRO</t>
        </is>
      </c>
    </row>
    <row r="167">
      <c r="A167" s="26" t="n">
        <v>46091</v>
      </c>
      <c r="B167" s="17" t="inlineStr">
        <is>
          <t>Pago cci 24hs no gravada interbank</t>
        </is>
      </c>
      <c r="C167" s="17" t="n"/>
      <c r="D167" s="18" t="n">
        <v>70000000</v>
      </c>
      <c r="E167" s="17" t="inlineStr">
        <is>
          <t xml:space="preserve"> A instrumental pasteur / varios - var / 30626629942</t>
        </is>
      </c>
      <c r="F167" s="17" t="inlineStr">
        <is>
          <t>OTRO</t>
        </is>
      </c>
    </row>
    <row r="168">
      <c r="A168" s="26" t="n">
        <v>46091</v>
      </c>
      <c r="B168" s="17" t="inlineStr">
        <is>
          <t>Credito transf online banking emp</t>
        </is>
      </c>
      <c r="C168" s="18" t="n">
        <v>929482.2</v>
      </c>
      <c r="D168" s="17" t="n"/>
      <c r="E168" s="17" t="inlineStr">
        <is>
          <t xml:space="preserve"> De ricardo bueloni y cia / factura - fac / 30522947632</t>
        </is>
      </c>
      <c r="F168" s="17" t="inlineStr">
        <is>
          <t>OTRO</t>
        </is>
      </c>
    </row>
    <row r="169">
      <c r="A169" s="26" t="n">
        <v>46091</v>
      </c>
      <c r="B169" s="17" t="inlineStr">
        <is>
          <t>Transferencia por sistema mep</t>
        </is>
      </c>
      <c r="C169" s="18" t="n">
        <v>100000000</v>
      </c>
      <c r="D169" s="17" t="n"/>
      <c r="E169" s="17" t="inlineStr">
        <is>
          <t xml:space="preserve"> 30680790805 1980001730000001185901 gc2</t>
        </is>
      </c>
      <c r="F169" s="17" t="inlineStr">
        <is>
          <t>OTRO</t>
        </is>
      </c>
    </row>
    <row r="170">
      <c r="A170" s="26" t="n">
        <v>46091</v>
      </c>
      <c r="B170" s="17" t="inlineStr">
        <is>
          <t>Transf recibida cvu mismo titular</t>
        </is>
      </c>
      <c r="C170" s="17" t="n"/>
      <c r="D170" s="18" t="n">
        <v>1000000</v>
      </c>
      <c r="E170" s="17" t="inlineStr">
        <is>
          <t xml:space="preserve"> De instrumental pasteur s r / mercado pago /30626629942</t>
        </is>
      </c>
      <c r="F170" s="17" t="inlineStr">
        <is>
          <t>OTRO</t>
        </is>
      </c>
    </row>
    <row r="171">
      <c r="A171" s="26" t="n">
        <v>46091</v>
      </c>
      <c r="B171" s="17" t="inlineStr">
        <is>
          <t>Transf recibida cvu mismo titular</t>
        </is>
      </c>
      <c r="C171" s="17" t="n"/>
      <c r="D171" s="18" t="n">
        <v>1000000</v>
      </c>
      <c r="E171" s="17" t="inlineStr">
        <is>
          <t xml:space="preserve"> De instrumental pasteur s r / mercado pago /30626629942</t>
        </is>
      </c>
      <c r="F171" s="17" t="inlineStr">
        <is>
          <t>OTRO</t>
        </is>
      </c>
    </row>
    <row r="172">
      <c r="A172" s="26" t="n">
        <v>46091</v>
      </c>
      <c r="B172" s="17" t="inlineStr">
        <is>
          <t>Suscripcion fondos comunes invers</t>
        </is>
      </c>
      <c r="C172" s="17" t="n"/>
      <c r="D172" s="18" t="n">
        <v>100000000</v>
      </c>
      <c r="E172" s="17" t="inlineStr"/>
      <c r="F172" s="17" t="inlineStr">
        <is>
          <t>OTRO</t>
        </is>
      </c>
    </row>
    <row r="173">
      <c r="A173" s="26" t="n">
        <v>46091</v>
      </c>
      <c r="B173" s="17" t="inlineStr">
        <is>
          <t>Pago de servicios</t>
        </is>
      </c>
      <c r="C173" s="17" t="n"/>
      <c r="D173" s="18" t="n">
        <v>866549.5600000001</v>
      </c>
      <c r="E173" s="17" t="inlineStr">
        <is>
          <t xml:space="preserve"> Sec caba: 30626629942</t>
        </is>
      </c>
      <c r="F173" s="17" t="inlineStr">
        <is>
          <t>OTRO</t>
        </is>
      </c>
    </row>
    <row r="174">
      <c r="A174" s="26" t="n">
        <v>46091</v>
      </c>
      <c r="B174" s="17" t="inlineStr">
        <is>
          <t>Pago de servicios</t>
        </is>
      </c>
      <c r="C174" s="17" t="n"/>
      <c r="D174" s="18" t="n">
        <v>121416.31</v>
      </c>
      <c r="E174" s="17" t="inlineStr">
        <is>
          <t xml:space="preserve"> Inacap cuota: 3062662994200096242</t>
        </is>
      </c>
      <c r="F174" s="17" t="inlineStr">
        <is>
          <t>OTRO</t>
        </is>
      </c>
    </row>
    <row r="175">
      <c r="A175" s="26" t="n">
        <v>46091</v>
      </c>
      <c r="B175" s="17" t="inlineStr">
        <is>
          <t>Pago de servicios</t>
        </is>
      </c>
      <c r="C175" s="17" t="n"/>
      <c r="D175" s="18" t="n">
        <v>221006.25</v>
      </c>
      <c r="E175" s="17" t="inlineStr">
        <is>
          <t xml:space="preserve"> Faecys: 306266299420000</t>
        </is>
      </c>
      <c r="F175" s="17" t="inlineStr">
        <is>
          <t>OTRO</t>
        </is>
      </c>
    </row>
    <row r="176">
      <c r="A176" s="26" t="n">
        <v>46091</v>
      </c>
      <c r="B176" s="17" t="inlineStr">
        <is>
          <t>Pago de servicios</t>
        </is>
      </c>
      <c r="C176" s="17" t="n"/>
      <c r="D176" s="18" t="n">
        <v>559668.6800000001</v>
      </c>
      <c r="E176" s="17" t="inlineStr">
        <is>
          <t xml:space="preserve"> Hosp italiano: 952448</t>
        </is>
      </c>
      <c r="F176" s="17" t="inlineStr">
        <is>
          <t>OTRO</t>
        </is>
      </c>
    </row>
    <row r="177">
      <c r="A177" s="26" t="n">
        <v>46091</v>
      </c>
      <c r="B177" s="17" t="inlineStr">
        <is>
          <t>Debito transf. online banking emp</t>
        </is>
      </c>
      <c r="C177" s="17" t="n"/>
      <c r="D177" s="18" t="n">
        <v>177000</v>
      </c>
      <c r="E177" s="17" t="inlineStr">
        <is>
          <t xml:space="preserve"> A park work srl / factura - fac / 30715889907</t>
        </is>
      </c>
      <c r="F177" s="17" t="inlineStr">
        <is>
          <t>OTRO</t>
        </is>
      </c>
    </row>
    <row r="178">
      <c r="A178" s="26" t="n">
        <v>46091</v>
      </c>
      <c r="B178" s="17" t="inlineStr">
        <is>
          <t>Transferencia realizada</t>
        </is>
      </c>
      <c r="C178" s="17" t="n"/>
      <c r="D178" s="18" t="n">
        <v>155000</v>
      </c>
      <c r="E178" s="17" t="inlineStr">
        <is>
          <t xml:space="preserve"> A jose raul,gomez / factura - fac / 20925985512</t>
        </is>
      </c>
      <c r="F178" s="17" t="inlineStr">
        <is>
          <t>OTRO</t>
        </is>
      </c>
    </row>
    <row r="179">
      <c r="A179" s="26" t="n">
        <v>46091</v>
      </c>
      <c r="B179" s="17" t="inlineStr">
        <is>
          <t>Transferencia realizada</t>
        </is>
      </c>
      <c r="C179" s="17" t="n"/>
      <c r="D179" s="18" t="n">
        <v>131594.76</v>
      </c>
      <c r="E179" s="17" t="inlineStr">
        <is>
          <t xml:space="preserve"> A lumen glass srl / factura - fac / 30708232439</t>
        </is>
      </c>
      <c r="F179" s="17" t="inlineStr">
        <is>
          <t>OTRO</t>
        </is>
      </c>
    </row>
    <row r="180">
      <c r="A180" s="26" t="n">
        <v>46091</v>
      </c>
      <c r="B180" s="17" t="inlineStr">
        <is>
          <t>Transferencia realizada</t>
        </is>
      </c>
      <c r="C180" s="17" t="n"/>
      <c r="D180" s="18" t="n">
        <v>110958.19</v>
      </c>
      <c r="E180" s="17" t="inlineStr">
        <is>
          <t xml:space="preserve"> A oca log s.a. / factura - fac / 30717024393</t>
        </is>
      </c>
      <c r="F180" s="17" t="inlineStr">
        <is>
          <t>OTRO</t>
        </is>
      </c>
    </row>
    <row r="181">
      <c r="A181" s="26" t="n">
        <v>46091</v>
      </c>
      <c r="B181" s="17" t="inlineStr">
        <is>
          <t>Transferencia realizada</t>
        </is>
      </c>
      <c r="C181" s="17" t="n"/>
      <c r="D181" s="18" t="n">
        <v>28484.75</v>
      </c>
      <c r="E181" s="17" t="inlineStr">
        <is>
          <t xml:space="preserve"> A allianz argentina compa / factura - fac / 30500037217</t>
        </is>
      </c>
      <c r="F181" s="17" t="inlineStr">
        <is>
          <t>OTRO</t>
        </is>
      </c>
    </row>
    <row r="182">
      <c r="A182" s="26" t="n">
        <v>46091</v>
      </c>
      <c r="B182" s="17" t="inlineStr">
        <is>
          <t>Transferencia realizada</t>
        </is>
      </c>
      <c r="C182" s="17" t="n"/>
      <c r="D182" s="18" t="n">
        <v>39649.05</v>
      </c>
      <c r="E182" s="17" t="inlineStr">
        <is>
          <t xml:space="preserve"> A allianz argentina compa / factura - fac / 30500037217</t>
        </is>
      </c>
      <c r="F182" s="17" t="inlineStr">
        <is>
          <t>OTRO</t>
        </is>
      </c>
    </row>
    <row r="183">
      <c r="A183" s="26" t="n">
        <v>46091</v>
      </c>
      <c r="B183" s="17" t="inlineStr">
        <is>
          <t>Transferencia realizada</t>
        </is>
      </c>
      <c r="C183" s="17" t="n"/>
      <c r="D183" s="18" t="n">
        <v>115531.85</v>
      </c>
      <c r="E183" s="17" t="inlineStr">
        <is>
          <t xml:space="preserve"> A allianz argentina compa / factura - fac / 30500037217</t>
        </is>
      </c>
      <c r="F183" s="17" t="inlineStr">
        <is>
          <t>OTRO</t>
        </is>
      </c>
    </row>
    <row r="184">
      <c r="A184" s="26" t="n">
        <v>46091</v>
      </c>
      <c r="B184" s="17" t="inlineStr">
        <is>
          <t>Transferencia realizada</t>
        </is>
      </c>
      <c r="C184" s="17" t="n"/>
      <c r="D184" s="18" t="n">
        <v>30594.97</v>
      </c>
      <c r="E184" s="17" t="inlineStr">
        <is>
          <t xml:space="preserve"> A allianz argentina compa / factura - fac / 30500037217</t>
        </is>
      </c>
      <c r="F184" s="17" t="inlineStr">
        <is>
          <t>OTRO</t>
        </is>
      </c>
    </row>
    <row r="185">
      <c r="A185" s="26" t="n">
        <v>46091</v>
      </c>
      <c r="B185" s="17" t="inlineStr">
        <is>
          <t>Transferencia realizada</t>
        </is>
      </c>
      <c r="C185" s="17" t="n"/>
      <c r="D185" s="18" t="n">
        <v>1545864.54</v>
      </c>
      <c r="E185" s="17" t="inlineStr">
        <is>
          <t xml:space="preserve"> A start it sas / factura - fac / 33717607789</t>
        </is>
      </c>
      <c r="F185" s="17" t="inlineStr">
        <is>
          <t>OTRO</t>
        </is>
      </c>
    </row>
    <row r="186">
      <c r="A186" s="26" t="n">
        <v>46091</v>
      </c>
      <c r="B186" s="17" t="inlineStr">
        <is>
          <t>Transferencia realizada</t>
        </is>
      </c>
      <c r="C186" s="17" t="n"/>
      <c r="D186" s="18" t="n">
        <v>292327.04</v>
      </c>
      <c r="E186" s="17" t="inlineStr">
        <is>
          <t xml:space="preserve"> A cruz del sur / factura - fac / 30556565798</t>
        </is>
      </c>
      <c r="F186" s="17" t="inlineStr">
        <is>
          <t>OTRO</t>
        </is>
      </c>
    </row>
    <row r="187">
      <c r="A187" s="26" t="n">
        <v>46091</v>
      </c>
      <c r="B187" s="17" t="inlineStr">
        <is>
          <t>Debito transf. online banking emp</t>
        </is>
      </c>
      <c r="C187" s="17" t="n"/>
      <c r="D187" s="18" t="n">
        <v>404268.98</v>
      </c>
      <c r="E187" s="17" t="inlineStr">
        <is>
          <t xml:space="preserve"> A softland argentina sa / factura - fac / 30646941136</t>
        </is>
      </c>
      <c r="F187" s="17" t="inlineStr">
        <is>
          <t>OTRO</t>
        </is>
      </c>
    </row>
    <row r="188">
      <c r="A188" s="26" t="n">
        <v>46091</v>
      </c>
      <c r="B188" s="17" t="inlineStr">
        <is>
          <t>Transferencia realizada</t>
        </is>
      </c>
      <c r="C188" s="17" t="n"/>
      <c r="D188" s="18" t="n">
        <v>84000</v>
      </c>
      <c r="E188" s="17" t="inlineStr">
        <is>
          <t xml:space="preserve"> A atilio etchelar sa / factura - fac / 30688401921</t>
        </is>
      </c>
      <c r="F188" s="17" t="inlineStr">
        <is>
          <t>OTRO</t>
        </is>
      </c>
    </row>
    <row r="189">
      <c r="A189" s="26" t="n">
        <v>46091</v>
      </c>
      <c r="B189" s="17" t="inlineStr">
        <is>
          <t>Transferencia realizada</t>
        </is>
      </c>
      <c r="C189" s="17" t="n"/>
      <c r="D189" s="18" t="n">
        <v>459242.49</v>
      </c>
      <c r="E189" s="17" t="inlineStr">
        <is>
          <t xml:space="preserve"> A m i v manufactura indus / factura - fac / 30503529153</t>
        </is>
      </c>
      <c r="F189" s="17" t="inlineStr">
        <is>
          <t>OTRO</t>
        </is>
      </c>
    </row>
    <row r="190">
      <c r="A190" s="26" t="n">
        <v>46091</v>
      </c>
      <c r="B190" s="17" t="inlineStr">
        <is>
          <t>Debito transf. online banking emp</t>
        </is>
      </c>
      <c r="C190" s="17" t="n"/>
      <c r="D190" s="18" t="n">
        <v>862730</v>
      </c>
      <c r="E190" s="17" t="inlineStr">
        <is>
          <t xml:space="preserve"> A gerardo damian ferrero / factura - fac / 20225888737</t>
        </is>
      </c>
      <c r="F190" s="17" t="inlineStr">
        <is>
          <t>OTRO</t>
        </is>
      </c>
    </row>
    <row r="191">
      <c r="A191" s="26" t="n">
        <v>46091</v>
      </c>
      <c r="B191" s="17" t="inlineStr">
        <is>
          <t>Transferencia realizada</t>
        </is>
      </c>
      <c r="C191" s="17" t="n"/>
      <c r="D191" s="18" t="n">
        <v>649197.59</v>
      </c>
      <c r="E191" s="17" t="inlineStr">
        <is>
          <t xml:space="preserve"> A la estrella cuenta nuev / varios - var / 30620920874</t>
        </is>
      </c>
      <c r="F191" s="17" t="inlineStr">
        <is>
          <t>OTRO</t>
        </is>
      </c>
    </row>
    <row r="192">
      <c r="A192" s="26" t="n">
        <v>46091</v>
      </c>
      <c r="B192" s="17" t="inlineStr">
        <is>
          <t>Pago de servicios</t>
        </is>
      </c>
      <c r="C192" s="17" t="n"/>
      <c r="D192" s="18" t="n">
        <v>851003.8</v>
      </c>
      <c r="E192" s="17" t="inlineStr">
        <is>
          <t xml:space="preserve"> Arba web: 00830626629942</t>
        </is>
      </c>
      <c r="F192" s="17" t="inlineStr">
        <is>
          <t>OTRO</t>
        </is>
      </c>
    </row>
    <row r="193">
      <c r="A193" s="26" t="n">
        <v>46091</v>
      </c>
      <c r="B193" s="17" t="inlineStr">
        <is>
          <t>Pago de servicios</t>
        </is>
      </c>
      <c r="C193" s="17" t="n"/>
      <c r="D193" s="18" t="n">
        <v>67157.39999999999</v>
      </c>
      <c r="E193" s="17" t="inlineStr">
        <is>
          <t xml:space="preserve"> Arba web: 00830626629942</t>
        </is>
      </c>
      <c r="F193" s="17" t="inlineStr">
        <is>
          <t>OTRO</t>
        </is>
      </c>
    </row>
    <row r="194">
      <c r="A194" s="26" t="n">
        <v>46091</v>
      </c>
      <c r="B194" s="17" t="inlineStr">
        <is>
          <t>Pago a proveedores recibido</t>
        </is>
      </c>
      <c r="C194" s="18" t="n">
        <v>548459.8</v>
      </c>
      <c r="D194" s="17" t="n"/>
      <c r="E194" s="17" t="inlineStr">
        <is>
          <t xml:space="preserve"> Marpama s.a. 30699660376 03 0248566</t>
        </is>
      </c>
      <c r="F194" s="17" t="inlineStr">
        <is>
          <t>OTRO</t>
        </is>
      </c>
    </row>
    <row r="195">
      <c r="A195" s="26" t="n">
        <v>46091</v>
      </c>
      <c r="B195" s="17" t="inlineStr">
        <is>
          <t>Transf recibida cvu dif titular</t>
        </is>
      </c>
      <c r="C195" s="18" t="n">
        <v>23858.03</v>
      </c>
      <c r="D195" s="17" t="n"/>
      <c r="E195" s="17" t="inlineStr">
        <is>
          <t xml:space="preserve"> De pablo martin blasco / personal pay /20332361504</t>
        </is>
      </c>
      <c r="F195" s="17" t="inlineStr">
        <is>
          <t>OTRO</t>
        </is>
      </c>
    </row>
    <row r="196">
      <c r="A196" s="26" t="n">
        <v>46091</v>
      </c>
      <c r="B196" s="17" t="inlineStr">
        <is>
          <t>Transferencia recibida</t>
        </is>
      </c>
      <c r="C196" s="18" t="n">
        <v>718310.78</v>
      </c>
      <c r="D196" s="17" t="n"/>
      <c r="E196" s="17" t="inlineStr">
        <is>
          <t xml:space="preserve"> De fundacion de investiga / h1 - fac / 30652097525</t>
        </is>
      </c>
      <c r="F196" s="17" t="inlineStr">
        <is>
          <t>OTRO</t>
        </is>
      </c>
    </row>
    <row r="197">
      <c r="A197" s="26" t="n">
        <v>46091</v>
      </c>
      <c r="B197" s="17" t="inlineStr">
        <is>
          <t>Transf recibida cvu dif titular</t>
        </is>
      </c>
      <c r="C197" s="18" t="n">
        <v>13001.79</v>
      </c>
      <c r="D197" s="17" t="n"/>
      <c r="E197" s="17" t="inlineStr">
        <is>
          <t xml:space="preserve"> De mario kinderknecht / prex /20346311496</t>
        </is>
      </c>
      <c r="F197" s="17" t="inlineStr">
        <is>
          <t>OTRO</t>
        </is>
      </c>
    </row>
    <row r="198">
      <c r="A198" s="26" t="n">
        <v>46091</v>
      </c>
      <c r="B198" s="17" t="inlineStr">
        <is>
          <t>Transf recibida cvu dif titular</t>
        </is>
      </c>
      <c r="C198" s="18" t="n">
        <v>26894.33</v>
      </c>
      <c r="D198" s="17" t="n"/>
      <c r="E198" s="17" t="inlineStr">
        <is>
          <t xml:space="preserve"> De carlos hernan gauna / lemon /20406421393</t>
        </is>
      </c>
      <c r="F198" s="17" t="inlineStr">
        <is>
          <t>OTRO</t>
        </is>
      </c>
    </row>
    <row r="199">
      <c r="A199" s="26" t="n">
        <v>46091</v>
      </c>
      <c r="B199" s="17" t="inlineStr">
        <is>
          <t>Rescate fondos comunes inversion</t>
        </is>
      </c>
      <c r="C199" s="18" t="n">
        <v>71602999.77</v>
      </c>
      <c r="D199" s="17" t="n"/>
      <c r="E199" s="17" t="inlineStr"/>
      <c r="F199" s="17" t="inlineStr">
        <is>
          <t>OTRO</t>
        </is>
      </c>
    </row>
    <row r="200">
      <c r="A200" s="26" t="n">
        <v>46091</v>
      </c>
      <c r="B200" s="17" t="inlineStr">
        <is>
          <t>Pago haberes</t>
        </is>
      </c>
      <c r="C200" s="18" t="n">
        <v>47296</v>
      </c>
      <c r="D200" s="17" t="n"/>
      <c r="E200" s="17" t="inlineStr">
        <is>
          <t xml:space="preserve"> 2603105072</t>
        </is>
      </c>
      <c r="F200" s="17" t="inlineStr">
        <is>
          <t>OTRO</t>
        </is>
      </c>
    </row>
    <row r="201">
      <c r="A201" s="26" t="n">
        <v>46091</v>
      </c>
      <c r="B201" s="17" t="inlineStr">
        <is>
          <t>Pago haberes</t>
        </is>
      </c>
      <c r="C201" s="18" t="n">
        <v>74322</v>
      </c>
      <c r="D201" s="17" t="n"/>
      <c r="E201" s="17" t="inlineStr">
        <is>
          <t xml:space="preserve"> 2603105072</t>
        </is>
      </c>
      <c r="F201" s="17" t="inlineStr">
        <is>
          <t>OTRO</t>
        </is>
      </c>
    </row>
    <row r="202">
      <c r="A202" s="26" t="n">
        <v>46091</v>
      </c>
      <c r="B202" s="17" t="inlineStr">
        <is>
          <t>Pago haberes</t>
        </is>
      </c>
      <c r="C202" s="18" t="n">
        <v>62038</v>
      </c>
      <c r="D202" s="17" t="n"/>
      <c r="E202" s="17" t="inlineStr">
        <is>
          <t xml:space="preserve"> 2603105072</t>
        </is>
      </c>
      <c r="F202" s="17" t="inlineStr">
        <is>
          <t>OTRO</t>
        </is>
      </c>
    </row>
    <row r="203">
      <c r="A203" s="26" t="n">
        <v>46091</v>
      </c>
      <c r="B203" s="17" t="inlineStr">
        <is>
          <t>Pago haberes</t>
        </is>
      </c>
      <c r="C203" s="18" t="n">
        <v>70023</v>
      </c>
      <c r="D203" s="17" t="n"/>
      <c r="E203" s="17" t="inlineStr">
        <is>
          <t xml:space="preserve"> 2603105072</t>
        </is>
      </c>
      <c r="F203" s="17" t="inlineStr">
        <is>
          <t>OTRO</t>
        </is>
      </c>
    </row>
    <row r="204">
      <c r="A204" s="26" t="n">
        <v>46091</v>
      </c>
      <c r="B204" s="17" t="inlineStr">
        <is>
          <t>Pago haberes</t>
        </is>
      </c>
      <c r="C204" s="18" t="n">
        <v>73708</v>
      </c>
      <c r="D204" s="17" t="n"/>
      <c r="E204" s="17" t="inlineStr">
        <is>
          <t xml:space="preserve"> 2603105072</t>
        </is>
      </c>
      <c r="F204" s="17" t="inlineStr">
        <is>
          <t>OTRO</t>
        </is>
      </c>
    </row>
    <row r="205">
      <c r="A205" s="26" t="n">
        <v>46091</v>
      </c>
      <c r="B205" s="17" t="inlineStr">
        <is>
          <t>Pago haberes</t>
        </is>
      </c>
      <c r="C205" s="18" t="n">
        <v>70637</v>
      </c>
      <c r="D205" s="17" t="n"/>
      <c r="E205" s="17" t="inlineStr">
        <is>
          <t xml:space="preserve"> 2603105072</t>
        </is>
      </c>
      <c r="F205" s="17" t="inlineStr">
        <is>
          <t>OTRO</t>
        </is>
      </c>
    </row>
    <row r="206">
      <c r="A206" s="26" t="n">
        <v>46091</v>
      </c>
      <c r="B206" s="17" t="inlineStr">
        <is>
          <t>Pago haberes</t>
        </is>
      </c>
      <c r="C206" s="18" t="n">
        <v>73094</v>
      </c>
      <c r="D206" s="17" t="n"/>
      <c r="E206" s="17" t="inlineStr">
        <is>
          <t xml:space="preserve"> 2603105072</t>
        </is>
      </c>
      <c r="F206" s="17" t="inlineStr">
        <is>
          <t>OTRO</t>
        </is>
      </c>
    </row>
    <row r="207">
      <c r="A207" s="26" t="n">
        <v>46091</v>
      </c>
      <c r="B207" s="17" t="inlineStr">
        <is>
          <t>Pago haberes</t>
        </is>
      </c>
      <c r="C207" s="18" t="n">
        <v>61424</v>
      </c>
      <c r="D207" s="17" t="n"/>
      <c r="E207" s="17" t="inlineStr">
        <is>
          <t xml:space="preserve"> 2603105072</t>
        </is>
      </c>
      <c r="F207" s="17" t="inlineStr">
        <is>
          <t>OTRO</t>
        </is>
      </c>
    </row>
    <row r="208">
      <c r="A208" s="26" t="n">
        <v>46091</v>
      </c>
      <c r="B208" s="17" t="inlineStr">
        <is>
          <t>Pago haberes</t>
        </is>
      </c>
      <c r="C208" s="18" t="n">
        <v>70023</v>
      </c>
      <c r="D208" s="17" t="n"/>
      <c r="E208" s="17" t="inlineStr">
        <is>
          <t xml:space="preserve"> 2603105072</t>
        </is>
      </c>
      <c r="F208" s="17" t="inlineStr">
        <is>
          <t>OTRO</t>
        </is>
      </c>
    </row>
    <row r="209">
      <c r="A209" s="26" t="n">
        <v>46091</v>
      </c>
      <c r="B209" s="17" t="inlineStr">
        <is>
          <t>Pago haberes</t>
        </is>
      </c>
      <c r="C209" s="18" t="n">
        <v>62038</v>
      </c>
      <c r="D209" s="17" t="n"/>
      <c r="E209" s="17" t="inlineStr">
        <is>
          <t xml:space="preserve"> 2603105072</t>
        </is>
      </c>
      <c r="F209" s="17" t="inlineStr">
        <is>
          <t>OTRO</t>
        </is>
      </c>
    </row>
    <row r="210">
      <c r="A210" s="26" t="n">
        <v>46091</v>
      </c>
      <c r="B210" s="17" t="inlineStr">
        <is>
          <t>Pago haberes</t>
        </is>
      </c>
      <c r="C210" s="18" t="n">
        <v>63266</v>
      </c>
      <c r="D210" s="17" t="n"/>
      <c r="E210" s="17" t="inlineStr">
        <is>
          <t xml:space="preserve"> 2603105072</t>
        </is>
      </c>
      <c r="F210" s="17" t="inlineStr">
        <is>
          <t>OTRO</t>
        </is>
      </c>
    </row>
    <row r="211">
      <c r="A211" s="26" t="n">
        <v>46091</v>
      </c>
      <c r="B211" s="17" t="inlineStr">
        <is>
          <t>Pago haberes</t>
        </is>
      </c>
      <c r="C211" s="18" t="n">
        <v>68180</v>
      </c>
      <c r="D211" s="17" t="n"/>
      <c r="E211" s="17" t="inlineStr">
        <is>
          <t xml:space="preserve"> 2603105072</t>
        </is>
      </c>
      <c r="F211" s="17" t="inlineStr">
        <is>
          <t>OTRO</t>
        </is>
      </c>
    </row>
    <row r="212">
      <c r="A212" s="26" t="n">
        <v>46091</v>
      </c>
      <c r="B212" s="17" t="inlineStr">
        <is>
          <t>Pago haberes</t>
        </is>
      </c>
      <c r="C212" s="18" t="n">
        <v>63266</v>
      </c>
      <c r="D212" s="17" t="n"/>
      <c r="E212" s="17" t="inlineStr">
        <is>
          <t xml:space="preserve"> 2603105072</t>
        </is>
      </c>
      <c r="F212" s="17" t="inlineStr">
        <is>
          <t>OTRO</t>
        </is>
      </c>
    </row>
    <row r="213">
      <c r="A213" s="26" t="n">
        <v>46091</v>
      </c>
      <c r="B213" s="17" t="inlineStr">
        <is>
          <t>Pago haberes</t>
        </is>
      </c>
      <c r="C213" s="18" t="n">
        <v>72480</v>
      </c>
      <c r="D213" s="17" t="n"/>
      <c r="E213" s="17" t="inlineStr">
        <is>
          <t xml:space="preserve"> 2603105072</t>
        </is>
      </c>
      <c r="F213" s="17" t="inlineStr">
        <is>
          <t>OTRO</t>
        </is>
      </c>
    </row>
    <row r="214">
      <c r="A214" s="26" t="n">
        <v>46091</v>
      </c>
      <c r="B214" s="17" t="inlineStr">
        <is>
          <t>Pago haberes</t>
        </is>
      </c>
      <c r="C214" s="18" t="n">
        <v>68180</v>
      </c>
      <c r="D214" s="17" t="n"/>
      <c r="E214" s="17" t="inlineStr">
        <is>
          <t xml:space="preserve"> 2603105072</t>
        </is>
      </c>
      <c r="F214" s="17" t="inlineStr">
        <is>
          <t>OTRO</t>
        </is>
      </c>
    </row>
    <row r="215">
      <c r="A215" s="26" t="n">
        <v>46091</v>
      </c>
      <c r="B215" s="17" t="inlineStr">
        <is>
          <t>Pago haberes</t>
        </is>
      </c>
      <c r="C215" s="18" t="n">
        <v>65109</v>
      </c>
      <c r="D215" s="17" t="n"/>
      <c r="E215" s="17" t="inlineStr">
        <is>
          <t xml:space="preserve"> 2603105072</t>
        </is>
      </c>
      <c r="F215" s="17" t="inlineStr">
        <is>
          <t>OTRO</t>
        </is>
      </c>
    </row>
    <row r="216">
      <c r="A216" s="26" t="n">
        <v>46091</v>
      </c>
      <c r="B216" s="17" t="inlineStr">
        <is>
          <t>Pago haberes</t>
        </is>
      </c>
      <c r="C216" s="18" t="n">
        <v>66952</v>
      </c>
      <c r="D216" s="17" t="n"/>
      <c r="E216" s="17" t="inlineStr">
        <is>
          <t xml:space="preserve"> 2603105072</t>
        </is>
      </c>
      <c r="F216" s="17" t="inlineStr">
        <is>
          <t>OTRO</t>
        </is>
      </c>
    </row>
    <row r="217">
      <c r="A217" s="26" t="n">
        <v>46091</v>
      </c>
      <c r="B217" s="17" t="inlineStr">
        <is>
          <t>Pago haberes</t>
        </is>
      </c>
      <c r="C217" s="18" t="n">
        <v>63266</v>
      </c>
      <c r="D217" s="17" t="n"/>
      <c r="E217" s="17" t="inlineStr">
        <is>
          <t xml:space="preserve"> 2603105072</t>
        </is>
      </c>
      <c r="F217" s="17" t="inlineStr">
        <is>
          <t>OTRO</t>
        </is>
      </c>
    </row>
    <row r="218">
      <c r="A218" s="26" t="n">
        <v>46091</v>
      </c>
      <c r="B218" s="17" t="inlineStr">
        <is>
          <t>Pago haberes</t>
        </is>
      </c>
      <c r="C218" s="18" t="n">
        <v>67566</v>
      </c>
      <c r="D218" s="17" t="n"/>
      <c r="E218" s="17" t="inlineStr">
        <is>
          <t xml:space="preserve"> 2603105072</t>
        </is>
      </c>
      <c r="F218" s="17" t="inlineStr">
        <is>
          <t>OTRO</t>
        </is>
      </c>
    </row>
    <row r="219">
      <c r="A219" s="26" t="n">
        <v>46091</v>
      </c>
      <c r="B219" s="17" t="inlineStr">
        <is>
          <t>Pago haberes</t>
        </is>
      </c>
      <c r="C219" s="18" t="n">
        <v>62038</v>
      </c>
      <c r="D219" s="17" t="n"/>
      <c r="E219" s="17" t="inlineStr">
        <is>
          <t xml:space="preserve"> 2603105072</t>
        </is>
      </c>
      <c r="F219" s="17" t="inlineStr">
        <is>
          <t>OTRO</t>
        </is>
      </c>
    </row>
    <row r="220">
      <c r="A220" s="26" t="n">
        <v>46091</v>
      </c>
      <c r="B220" s="17" t="inlineStr">
        <is>
          <t>Pago haberes</t>
        </is>
      </c>
      <c r="C220" s="18" t="n">
        <v>70023</v>
      </c>
      <c r="D220" s="17" t="n"/>
      <c r="E220" s="17" t="inlineStr">
        <is>
          <t xml:space="preserve"> 2603105072</t>
        </is>
      </c>
      <c r="F220" s="17" t="inlineStr">
        <is>
          <t>OTRO</t>
        </is>
      </c>
    </row>
    <row r="221">
      <c r="A221" s="26" t="n">
        <v>46091</v>
      </c>
      <c r="B221" s="17" t="inlineStr">
        <is>
          <t>Pago haberes</t>
        </is>
      </c>
      <c r="C221" s="18" t="n">
        <v>73708</v>
      </c>
      <c r="D221" s="17" t="n"/>
      <c r="E221" s="17" t="inlineStr">
        <is>
          <t xml:space="preserve"> 2603105072</t>
        </is>
      </c>
      <c r="F221" s="17" t="inlineStr">
        <is>
          <t>OTRO</t>
        </is>
      </c>
    </row>
    <row r="222">
      <c r="A222" s="26" t="n">
        <v>46091</v>
      </c>
      <c r="B222" s="17" t="inlineStr">
        <is>
          <t>Pago haberes</t>
        </is>
      </c>
      <c r="C222" s="18" t="n">
        <v>18427</v>
      </c>
      <c r="D222" s="17" t="n"/>
      <c r="E222" s="17" t="inlineStr">
        <is>
          <t xml:space="preserve"> 2603105072</t>
        </is>
      </c>
      <c r="F222" s="17" t="inlineStr">
        <is>
          <t>OTRO</t>
        </is>
      </c>
    </row>
    <row r="223">
      <c r="A223" s="26" t="n">
        <v>46091</v>
      </c>
      <c r="B223" s="17" t="inlineStr">
        <is>
          <t>Impuesto ley 25.413 debito 0,6%</t>
        </is>
      </c>
      <c r="C223" s="18" t="n">
        <v>56086.96</v>
      </c>
      <c r="D223" s="17" t="n"/>
      <c r="E223" s="17" t="inlineStr"/>
      <c r="F223" s="17" t="inlineStr">
        <is>
          <t>LEY25413_DEBITO</t>
        </is>
      </c>
    </row>
    <row r="224">
      <c r="A224" s="26" t="n">
        <v>46091</v>
      </c>
      <c r="B224" s="17" t="inlineStr">
        <is>
          <t>Impuesto ley 25.413 credito 0,6%</t>
        </is>
      </c>
      <c r="C224" s="18" t="n">
        <v>627894.27</v>
      </c>
      <c r="D224" s="17" t="n"/>
      <c r="E224" s="17" t="inlineStr"/>
      <c r="F224" s="17" t="inlineStr">
        <is>
          <t>LEY25413_CREDITO</t>
        </is>
      </c>
    </row>
    <row r="225">
      <c r="A225" s="26" t="n">
        <v>46091</v>
      </c>
      <c r="B225" s="17" t="inlineStr">
        <is>
          <t>Comision transf otros bcos canales</t>
        </is>
      </c>
      <c r="C225" s="18" t="n">
        <v>315</v>
      </c>
      <c r="D225" s="17" t="n"/>
      <c r="E225" s="17" t="inlineStr">
        <is>
          <t xml:space="preserve"> Comision transferencias</t>
        </is>
      </c>
      <c r="F225" s="17" t="inlineStr">
        <is>
          <t>COMISION</t>
        </is>
      </c>
    </row>
    <row r="226">
      <c r="A226" s="26" t="n">
        <v>46091</v>
      </c>
      <c r="B226" s="17" t="inlineStr">
        <is>
          <t>Iva 21% reg de transfisc ley27743</t>
        </is>
      </c>
      <c r="C226" s="18" t="n">
        <v>66.15000000000001</v>
      </c>
      <c r="D226" s="17" t="n"/>
      <c r="E226" s="17" t="inlineStr"/>
      <c r="F226" s="17" t="inlineStr">
        <is>
          <t>IVA</t>
        </is>
      </c>
    </row>
    <row r="227">
      <c r="A227" s="26" t="n">
        <v>46091</v>
      </c>
      <c r="B227" s="17" t="inlineStr">
        <is>
          <t>Comision transf otros bcos canales</t>
        </is>
      </c>
      <c r="C227" s="18" t="n">
        <v>315</v>
      </c>
      <c r="D227" s="17" t="n"/>
      <c r="E227" s="17" t="inlineStr">
        <is>
          <t xml:space="preserve"> Comision transferencias</t>
        </is>
      </c>
      <c r="F227" s="17" t="inlineStr">
        <is>
          <t>COMISION</t>
        </is>
      </c>
    </row>
    <row r="228">
      <c r="A228" s="26" t="n">
        <v>46091</v>
      </c>
      <c r="B228" s="17" t="inlineStr">
        <is>
          <t>Iva 21% reg de transfisc ley27743</t>
        </is>
      </c>
      <c r="C228" s="18" t="n">
        <v>66.15000000000001</v>
      </c>
      <c r="D228" s="17" t="n"/>
      <c r="E228" s="17" t="inlineStr"/>
      <c r="F228" s="17" t="inlineStr">
        <is>
          <t>IVA</t>
        </is>
      </c>
    </row>
    <row r="229">
      <c r="A229" s="26" t="n">
        <v>46091</v>
      </c>
      <c r="B229" s="17" t="inlineStr">
        <is>
          <t>Comision transf otros bcos canales</t>
        </is>
      </c>
      <c r="C229" s="18" t="n">
        <v>315</v>
      </c>
      <c r="D229" s="17" t="n"/>
      <c r="E229" s="17" t="inlineStr">
        <is>
          <t xml:space="preserve"> Comision transferencias</t>
        </is>
      </c>
      <c r="F229" s="17" t="inlineStr">
        <is>
          <t>COMISION</t>
        </is>
      </c>
    </row>
    <row r="230">
      <c r="A230" s="26" t="n">
        <v>46091</v>
      </c>
      <c r="B230" s="17" t="inlineStr">
        <is>
          <t>Iva 21% reg de transfisc ley27743</t>
        </is>
      </c>
      <c r="C230" s="18" t="n">
        <v>66.15000000000001</v>
      </c>
      <c r="D230" s="17" t="n"/>
      <c r="E230" s="17" t="inlineStr"/>
      <c r="F230" s="17" t="inlineStr">
        <is>
          <t>IVA</t>
        </is>
      </c>
    </row>
    <row r="231">
      <c r="A231" s="26" t="n">
        <v>46091</v>
      </c>
      <c r="B231" s="17" t="inlineStr">
        <is>
          <t>Comision transf otros bcos canales</t>
        </is>
      </c>
      <c r="C231" s="18" t="n">
        <v>720</v>
      </c>
      <c r="D231" s="17" t="n"/>
      <c r="E231" s="17" t="inlineStr">
        <is>
          <t xml:space="preserve"> Comision transferencias</t>
        </is>
      </c>
      <c r="F231" s="17" t="inlineStr">
        <is>
          <t>COMISION</t>
        </is>
      </c>
    </row>
    <row r="232">
      <c r="A232" s="26" t="n">
        <v>46091</v>
      </c>
      <c r="B232" s="17" t="inlineStr">
        <is>
          <t>Iva 21% reg de transfisc ley27743</t>
        </is>
      </c>
      <c r="C232" s="18" t="n">
        <v>151.2</v>
      </c>
      <c r="D232" s="17" t="n"/>
      <c r="E232" s="17" t="inlineStr"/>
      <c r="F232" s="17" t="inlineStr">
        <is>
          <t>IVA</t>
        </is>
      </c>
    </row>
    <row r="233">
      <c r="A233" s="26" t="n">
        <v>46091</v>
      </c>
      <c r="B233" s="17" t="inlineStr">
        <is>
          <t>Comision transf otros bcos canales</t>
        </is>
      </c>
      <c r="C233" s="18" t="n">
        <v>720</v>
      </c>
      <c r="D233" s="17" t="n"/>
      <c r="E233" s="17" t="inlineStr">
        <is>
          <t xml:space="preserve"> Comision transferencias</t>
        </is>
      </c>
      <c r="F233" s="17" t="inlineStr">
        <is>
          <t>COMISION</t>
        </is>
      </c>
    </row>
    <row r="234">
      <c r="A234" s="26" t="n">
        <v>46091</v>
      </c>
      <c r="B234" s="17" t="inlineStr">
        <is>
          <t>Iva 21% reg de transfisc ley27743</t>
        </is>
      </c>
      <c r="C234" s="18" t="n">
        <v>151.2</v>
      </c>
      <c r="D234" s="17" t="n"/>
      <c r="E234" s="17" t="inlineStr"/>
      <c r="F234" s="17" t="inlineStr">
        <is>
          <t>IVA</t>
        </is>
      </c>
    </row>
    <row r="235">
      <c r="A235" s="26" t="n">
        <v>46091</v>
      </c>
      <c r="B235" s="17" t="inlineStr">
        <is>
          <t>Comision transf otros bcos canales</t>
        </is>
      </c>
      <c r="C235" s="18" t="n">
        <v>720</v>
      </c>
      <c r="D235" s="17" t="n"/>
      <c r="E235" s="17" t="inlineStr">
        <is>
          <t xml:space="preserve"> Comision transferencias</t>
        </is>
      </c>
      <c r="F235" s="17" t="inlineStr">
        <is>
          <t>COMISION</t>
        </is>
      </c>
    </row>
    <row r="236">
      <c r="A236" s="26" t="n">
        <v>46091</v>
      </c>
      <c r="B236" s="17" t="inlineStr">
        <is>
          <t>Iva 21% reg de transfisc ley27743</t>
        </is>
      </c>
      <c r="C236" s="18" t="n">
        <v>151.2</v>
      </c>
      <c r="D236" s="17" t="n"/>
      <c r="E236" s="17" t="inlineStr"/>
      <c r="F236" s="17" t="inlineStr">
        <is>
          <t>IVA</t>
        </is>
      </c>
    </row>
    <row r="237">
      <c r="A237" s="26" t="n">
        <v>46091</v>
      </c>
      <c r="B237" s="17" t="inlineStr">
        <is>
          <t>Comision transf otros bcos canales</t>
        </is>
      </c>
      <c r="C237" s="18" t="n">
        <v>720</v>
      </c>
      <c r="D237" s="17" t="n"/>
      <c r="E237" s="17" t="inlineStr">
        <is>
          <t xml:space="preserve"> Comision transferencias</t>
        </is>
      </c>
      <c r="F237" s="17" t="inlineStr">
        <is>
          <t>COMISION</t>
        </is>
      </c>
    </row>
    <row r="238">
      <c r="A238" s="26" t="n">
        <v>46091</v>
      </c>
      <c r="B238" s="17" t="inlineStr">
        <is>
          <t>Iva 21% reg de transfisc ley27743</t>
        </is>
      </c>
      <c r="C238" s="18" t="n">
        <v>151.2</v>
      </c>
      <c r="D238" s="17" t="n"/>
      <c r="E238" s="17" t="inlineStr"/>
      <c r="F238" s="17" t="inlineStr">
        <is>
          <t>IVA</t>
        </is>
      </c>
    </row>
    <row r="239">
      <c r="A239" s="26" t="n">
        <v>46091</v>
      </c>
      <c r="B239" s="17" t="inlineStr">
        <is>
          <t>Comision transf otros bcos canales</t>
        </is>
      </c>
      <c r="C239" s="18" t="n">
        <v>720</v>
      </c>
      <c r="D239" s="17" t="n"/>
      <c r="E239" s="17" t="inlineStr">
        <is>
          <t xml:space="preserve"> Comision transferencias</t>
        </is>
      </c>
      <c r="F239" s="17" t="inlineStr">
        <is>
          <t>COMISION</t>
        </is>
      </c>
    </row>
    <row r="240">
      <c r="A240" s="26" t="n">
        <v>46091</v>
      </c>
      <c r="B240" s="17" t="inlineStr">
        <is>
          <t>Iva 21% reg de transfisc ley27743</t>
        </is>
      </c>
      <c r="C240" s="18" t="n">
        <v>151.2</v>
      </c>
      <c r="D240" s="17" t="n"/>
      <c r="E240" s="17" t="inlineStr"/>
      <c r="F240" s="17" t="inlineStr">
        <is>
          <t>IVA</t>
        </is>
      </c>
    </row>
    <row r="241">
      <c r="A241" s="26" t="n">
        <v>46091</v>
      </c>
      <c r="B241" s="17" t="inlineStr">
        <is>
          <t>Comision transf otros bcos canales</t>
        </is>
      </c>
      <c r="C241" s="18" t="n">
        <v>720</v>
      </c>
      <c r="D241" s="17" t="n"/>
      <c r="E241" s="17" t="inlineStr">
        <is>
          <t xml:space="preserve"> Comision transferencias</t>
        </is>
      </c>
      <c r="F241" s="17" t="inlineStr">
        <is>
          <t>COMISION</t>
        </is>
      </c>
    </row>
    <row r="242">
      <c r="A242" s="26" t="n">
        <v>46091</v>
      </c>
      <c r="B242" s="17" t="inlineStr">
        <is>
          <t>Iva 21% reg de transfisc ley27743</t>
        </is>
      </c>
      <c r="C242" s="18" t="n">
        <v>151.2</v>
      </c>
      <c r="D242" s="17" t="n"/>
      <c r="E242" s="17" t="inlineStr"/>
      <c r="F242" s="17" t="inlineStr">
        <is>
          <t>IVA</t>
        </is>
      </c>
    </row>
    <row r="243">
      <c r="A243" s="26" t="n">
        <v>46091</v>
      </c>
      <c r="B243" s="17" t="inlineStr">
        <is>
          <t>Comision transf otros bcos canales</t>
        </is>
      </c>
      <c r="C243" s="18" t="n">
        <v>1485</v>
      </c>
      <c r="D243" s="17" t="n"/>
      <c r="E243" s="17" t="inlineStr">
        <is>
          <t xml:space="preserve"> Comision transferencias</t>
        </is>
      </c>
      <c r="F243" s="17" t="inlineStr">
        <is>
          <t>COMISION</t>
        </is>
      </c>
    </row>
    <row r="244">
      <c r="A244" s="26" t="n">
        <v>46091</v>
      </c>
      <c r="B244" s="17" t="inlineStr">
        <is>
          <t>Iva 21% reg de transfisc ley27743</t>
        </is>
      </c>
      <c r="C244" s="18" t="n">
        <v>311.85</v>
      </c>
      <c r="D244" s="17" t="n"/>
      <c r="E244" s="17" t="inlineStr"/>
      <c r="F244" s="17" t="inlineStr">
        <is>
          <t>IVA</t>
        </is>
      </c>
    </row>
    <row r="245">
      <c r="A245" s="26" t="n">
        <v>46091</v>
      </c>
      <c r="B245" s="17" t="inlineStr">
        <is>
          <t>Comision transf otros bcos canales</t>
        </is>
      </c>
      <c r="C245" s="18" t="n">
        <v>1485</v>
      </c>
      <c r="D245" s="17" t="n"/>
      <c r="E245" s="17" t="inlineStr">
        <is>
          <t xml:space="preserve"> Comision transferencias</t>
        </is>
      </c>
      <c r="F245" s="17" t="inlineStr">
        <is>
          <t>COMISION</t>
        </is>
      </c>
    </row>
    <row r="246">
      <c r="A246" s="26" t="n">
        <v>46091</v>
      </c>
      <c r="B246" s="17" t="inlineStr">
        <is>
          <t>Iva 21% reg de transfisc ley27743</t>
        </is>
      </c>
      <c r="C246" s="18" t="n">
        <v>311.85</v>
      </c>
      <c r="D246" s="17" t="n"/>
      <c r="E246" s="17" t="inlineStr"/>
      <c r="F246" s="17" t="inlineStr">
        <is>
          <t>IVA</t>
        </is>
      </c>
    </row>
    <row r="247">
      <c r="A247" s="26" t="n">
        <v>46091</v>
      </c>
      <c r="B247" s="17" t="inlineStr">
        <is>
          <t>Comision transf otros bcos canales</t>
        </is>
      </c>
      <c r="C247" s="18" t="n">
        <v>1485</v>
      </c>
      <c r="D247" s="17" t="n"/>
      <c r="E247" s="17" t="inlineStr">
        <is>
          <t xml:space="preserve"> Comision transferencias</t>
        </is>
      </c>
      <c r="F247" s="17" t="inlineStr">
        <is>
          <t>COMISION</t>
        </is>
      </c>
    </row>
    <row r="248">
      <c r="A248" s="26" t="n">
        <v>46091</v>
      </c>
      <c r="B248" s="17" t="inlineStr">
        <is>
          <t>Iva 21% reg de transfisc ley27743</t>
        </is>
      </c>
      <c r="C248" s="18" t="n">
        <v>311.85</v>
      </c>
      <c r="D248" s="17" t="n"/>
      <c r="E248" s="17" t="inlineStr"/>
      <c r="F248" s="17" t="inlineStr">
        <is>
          <t>IVA</t>
        </is>
      </c>
    </row>
    <row r="249">
      <c r="A249" s="26" t="n">
        <v>46091</v>
      </c>
      <c r="B249" s="17" t="inlineStr">
        <is>
          <t>Regimen de recaudacion sircreb n</t>
        </is>
      </c>
      <c r="C249" s="18" t="n">
        <v>1255788.55</v>
      </c>
      <c r="D249" s="17" t="n"/>
      <c r="E249" s="17" t="inlineStr">
        <is>
          <t xml:space="preserve"> Resp:30626629942 / 1,20% sobre</t>
        </is>
      </c>
      <c r="F249" s="17" t="inlineStr">
        <is>
          <t>RET_SIRCREB</t>
        </is>
      </c>
    </row>
    <row r="250">
      <c r="A250" s="26" t="n">
        <v>46091</v>
      </c>
      <c r="B250" s="17" t="inlineStr">
        <is>
          <t>Adelanto iibb tuc letra h</t>
        </is>
      </c>
      <c r="C250" s="18" t="n">
        <v>122859.01</v>
      </c>
      <c r="D250" s="17" t="n"/>
      <c r="E250" s="17" t="inlineStr">
        <is>
          <t xml:space="preserve"> Resp:30626629942 / 0,12% sobre</t>
        </is>
      </c>
      <c r="F250" s="17" t="inlineStr">
        <is>
          <t>RET_IIBB_TUCUMAN</t>
        </is>
      </c>
    </row>
    <row r="251">
      <c r="A251" s="26" t="n">
        <v>46092</v>
      </c>
      <c r="B251" s="17" t="inlineStr">
        <is>
          <t>Pago comercios getnet nro.liq.</t>
        </is>
      </c>
      <c r="C251" s="17" t="n"/>
      <c r="D251" s="18" t="n">
        <v>306000.05</v>
      </c>
      <c r="E251" s="17" t="inlineStr">
        <is>
          <t xml:space="preserve"> 00004551/000000000008581</t>
        </is>
      </c>
      <c r="F251" s="17" t="inlineStr">
        <is>
          <t>OTRO</t>
        </is>
      </c>
    </row>
    <row r="252">
      <c r="A252" s="26" t="n">
        <v>46092</v>
      </c>
      <c r="B252" s="17" t="inlineStr">
        <is>
          <t>Debito automatico</t>
        </is>
      </c>
      <c r="C252" s="18" t="n">
        <v>98555.03</v>
      </c>
      <c r="D252" s="17" t="n"/>
      <c r="E252" s="17" t="inlineStr">
        <is>
          <t xml:space="preserve"> Suartec sa -0108538</t>
        </is>
      </c>
      <c r="F252" s="17" t="inlineStr">
        <is>
          <t>DEB_AUTOMATICO</t>
        </is>
      </c>
    </row>
    <row r="253">
      <c r="A253" s="26" t="n">
        <v>46092</v>
      </c>
      <c r="B253" s="17" t="inlineStr">
        <is>
          <t>Pago comercios getnet nro.liq.</t>
        </is>
      </c>
      <c r="C253" s="17" t="n"/>
      <c r="D253" s="18" t="n">
        <v>123679.1</v>
      </c>
      <c r="E253" s="17" t="inlineStr">
        <is>
          <t xml:space="preserve"> 00005663/000000000008581</t>
        </is>
      </c>
      <c r="F253" s="17" t="inlineStr">
        <is>
          <t>OTRO</t>
        </is>
      </c>
    </row>
    <row r="254">
      <c r="A254" s="26" t="n">
        <v>46092</v>
      </c>
      <c r="B254" s="17" t="inlineStr">
        <is>
          <t>Pago a proveedores recibido</t>
        </is>
      </c>
      <c r="C254" s="17" t="n"/>
      <c r="D254" s="18" t="n">
        <v>696513.49</v>
      </c>
      <c r="E254" s="17" t="inlineStr">
        <is>
          <t xml:space="preserve"> Redilab sa 30715717723 03 3223148</t>
        </is>
      </c>
      <c r="F254" s="17" t="inlineStr">
        <is>
          <t>OTRO</t>
        </is>
      </c>
    </row>
    <row r="255">
      <c r="A255" s="26" t="n">
        <v>46092</v>
      </c>
      <c r="B255" s="17" t="inlineStr">
        <is>
          <t>Transferencia recibida</t>
        </is>
      </c>
      <c r="C255" s="17" t="n"/>
      <c r="D255" s="18" t="n">
        <v>4113.12</v>
      </c>
      <c r="E255" s="17" t="inlineStr">
        <is>
          <t xml:space="preserve"> De n/a zapata portillo / - var / 27447601716</t>
        </is>
      </c>
      <c r="F255" s="17" t="inlineStr">
        <is>
          <t>OTRO</t>
        </is>
      </c>
    </row>
    <row r="256">
      <c r="A256" s="26" t="n">
        <v>46092</v>
      </c>
      <c r="B256" s="17" t="inlineStr">
        <is>
          <t>Pago a proveedores recibido</t>
        </is>
      </c>
      <c r="C256" s="17" t="n"/>
      <c r="D256" s="18" t="n">
        <v>321928.5</v>
      </c>
      <c r="E256" s="17" t="inlineStr">
        <is>
          <t xml:space="preserve"> Noveco srl 30717310000 03 0211824</t>
        </is>
      </c>
      <c r="F256" s="17" t="inlineStr">
        <is>
          <t>OTRO</t>
        </is>
      </c>
    </row>
    <row r="257">
      <c r="A257" s="26" t="n">
        <v>46092</v>
      </c>
      <c r="B257" s="17" t="inlineStr">
        <is>
          <t>Pago a proveedores recibido</t>
        </is>
      </c>
      <c r="C257" s="17" t="n"/>
      <c r="D257" s="18" t="n">
        <v>1161787.7</v>
      </c>
      <c r="E257" s="17" t="inlineStr">
        <is>
          <t xml:space="preserve"> International argenetics lab 30717445917 03 0105270</t>
        </is>
      </c>
      <c r="F257" s="17" t="inlineStr">
        <is>
          <t>OTRO</t>
        </is>
      </c>
    </row>
    <row r="258">
      <c r="A258" s="26" t="n">
        <v>46092</v>
      </c>
      <c r="B258" s="17" t="inlineStr">
        <is>
          <t>Credito transf online banking emp</t>
        </is>
      </c>
      <c r="C258" s="17" t="n"/>
      <c r="D258" s="18" t="n">
        <v>10485.64</v>
      </c>
      <c r="E258" s="17" t="inlineStr">
        <is>
          <t xml:space="preserve"> De getnet argentina sau / - var / 30716821516</t>
        </is>
      </c>
      <c r="F258" s="17" t="inlineStr">
        <is>
          <t>OTRO</t>
        </is>
      </c>
    </row>
    <row r="259">
      <c r="A259" s="26" t="n">
        <v>46092</v>
      </c>
      <c r="B259" s="17" t="inlineStr">
        <is>
          <t>Transferencia recibida</t>
        </is>
      </c>
      <c r="C259" s="17" t="n"/>
      <c r="D259" s="18" t="n">
        <v>14175.15</v>
      </c>
      <c r="E259" s="17" t="inlineStr">
        <is>
          <t xml:space="preserve"> De monzon, sofia lihuen / compra web - var / 27459947979</t>
        </is>
      </c>
      <c r="F259" s="17" t="inlineStr">
        <is>
          <t>OTRO</t>
        </is>
      </c>
    </row>
    <row r="260">
      <c r="A260" s="26" t="n">
        <v>46092</v>
      </c>
      <c r="B260" s="17" t="inlineStr">
        <is>
          <t>Pago a proveedores recibido</t>
        </is>
      </c>
      <c r="C260" s="17" t="n"/>
      <c r="D260" s="18" t="n">
        <v>577419.27</v>
      </c>
      <c r="E260" s="17" t="inlineStr">
        <is>
          <t xml:space="preserve"> Universidad bs as f. de agron 30546666561 03 6284049</t>
        </is>
      </c>
      <c r="F260" s="17" t="inlineStr">
        <is>
          <t>OTRO</t>
        </is>
      </c>
    </row>
    <row r="261">
      <c r="A261" s="26" t="n">
        <v>46092</v>
      </c>
      <c r="B261" s="17" t="inlineStr">
        <is>
          <t>Pago a proveedores recibido</t>
        </is>
      </c>
      <c r="C261" s="17" t="n"/>
      <c r="D261" s="18" t="n">
        <v>978202.4</v>
      </c>
      <c r="E261" s="17" t="inlineStr">
        <is>
          <t xml:space="preserve"> Surplast sa 33634683319 03 3290479</t>
        </is>
      </c>
      <c r="F261" s="17" t="inlineStr">
        <is>
          <t>OTRO</t>
        </is>
      </c>
    </row>
    <row r="262">
      <c r="A262" s="26" t="n">
        <v>46092</v>
      </c>
      <c r="B262" s="17" t="inlineStr">
        <is>
          <t>Transferencia recibida</t>
        </is>
      </c>
      <c r="C262" s="17" t="n"/>
      <c r="D262" s="18" t="n">
        <v>565773.0699999999</v>
      </c>
      <c r="E262" s="17" t="inlineStr">
        <is>
          <t xml:space="preserve"> De fundacion sol puntan o / h36871 - var / 30711394105</t>
        </is>
      </c>
      <c r="F262" s="17" t="inlineStr">
        <is>
          <t>OTRO</t>
        </is>
      </c>
    </row>
    <row r="263">
      <c r="A263" s="26" t="n">
        <v>46092</v>
      </c>
      <c r="B263" s="17" t="inlineStr">
        <is>
          <t>Suscripcion fondos comunes invers</t>
        </is>
      </c>
      <c r="C263" s="18" t="n">
        <v>4500000</v>
      </c>
      <c r="D263" s="17" t="n"/>
      <c r="E263" s="17" t="inlineStr"/>
      <c r="F263" s="17" t="inlineStr">
        <is>
          <t>OTRO</t>
        </is>
      </c>
    </row>
    <row r="264">
      <c r="A264" s="26" t="n">
        <v>46092</v>
      </c>
      <c r="B264" s="17" t="inlineStr">
        <is>
          <t>Impuesto ley 25.413 debito 0,6%</t>
        </is>
      </c>
      <c r="C264" s="18" t="n">
        <v>8933.799999999999</v>
      </c>
      <c r="D264" s="17" t="n"/>
      <c r="E264" s="17" t="inlineStr"/>
      <c r="F264" s="17" t="inlineStr">
        <is>
          <t>LEY25413_DEBITO</t>
        </is>
      </c>
    </row>
    <row r="265">
      <c r="A265" s="26" t="n">
        <v>46092</v>
      </c>
      <c r="B265" s="17" t="inlineStr">
        <is>
          <t>Impuesto ley 25.413 credito 0,6%</t>
        </is>
      </c>
      <c r="C265" s="18" t="n">
        <v>28560.46</v>
      </c>
      <c r="D265" s="17" t="n"/>
      <c r="E265" s="17" t="inlineStr"/>
      <c r="F265" s="17" t="inlineStr">
        <is>
          <t>LEY25413_CREDITO</t>
        </is>
      </c>
    </row>
    <row r="266">
      <c r="A266" s="26" t="n">
        <v>46092</v>
      </c>
      <c r="B266" s="17" t="inlineStr">
        <is>
          <t>Regimen de recaudacion sircreb n</t>
        </is>
      </c>
      <c r="C266" s="18" t="n">
        <v>57120.93</v>
      </c>
      <c r="D266" s="17" t="n"/>
      <c r="E266" s="17" t="inlineStr">
        <is>
          <t xml:space="preserve"> Resp:30626629942 / 1,20% sobre</t>
        </is>
      </c>
      <c r="F266" s="17" t="inlineStr">
        <is>
          <t>RET_SIRCREB</t>
        </is>
      </c>
    </row>
    <row r="267">
      <c r="A267" s="26" t="n">
        <v>46092</v>
      </c>
      <c r="B267" s="17" t="inlineStr">
        <is>
          <t>Adelanto iibb tuc letra h</t>
        </is>
      </c>
      <c r="C267" s="18" t="n">
        <v>5183.9</v>
      </c>
      <c r="D267" s="17" t="n"/>
      <c r="E267" s="17" t="inlineStr">
        <is>
          <t xml:space="preserve"> Resp:30626629942 / 0,12% sobre</t>
        </is>
      </c>
      <c r="F267" s="17" t="inlineStr">
        <is>
          <t>RET_IIBB_TUCUMAN</t>
        </is>
      </c>
    </row>
    <row r="268">
      <c r="A268" s="26" t="n">
        <v>46093</v>
      </c>
      <c r="B268" s="17" t="inlineStr">
        <is>
          <t>Deposito echeq otro banco 48hs</t>
        </is>
      </c>
      <c r="C268" s="17" t="n"/>
      <c r="D268" s="18" t="n">
        <v>2222451.65</v>
      </c>
      <c r="E268" s="17" t="inlineStr"/>
      <c r="F268" s="17" t="inlineStr">
        <is>
          <t>OTRO</t>
        </is>
      </c>
    </row>
    <row r="269">
      <c r="A269" s="26" t="n">
        <v>46093</v>
      </c>
      <c r="B269" s="17" t="inlineStr">
        <is>
          <t>Deposito e-cheq 48hs presencia bsr</t>
        </is>
      </c>
      <c r="C269" s="17" t="n"/>
      <c r="D269" s="18" t="n">
        <v>1979848.85</v>
      </c>
      <c r="E269" s="17" t="inlineStr"/>
      <c r="F269" s="17" t="inlineStr">
        <is>
          <t>OTRO</t>
        </is>
      </c>
    </row>
    <row r="270">
      <c r="A270" s="26" t="n">
        <v>46093</v>
      </c>
      <c r="B270" s="17" t="inlineStr">
        <is>
          <t>Pago comercios getnet nro.liq.</t>
        </is>
      </c>
      <c r="C270" s="17" t="n"/>
      <c r="D270" s="18" t="n">
        <v>163586.94</v>
      </c>
      <c r="E270" s="17" t="inlineStr">
        <is>
          <t xml:space="preserve"> 00004529/000000000008581</t>
        </is>
      </c>
      <c r="F270" s="17" t="inlineStr">
        <is>
          <t>OTRO</t>
        </is>
      </c>
    </row>
    <row r="271">
      <c r="A271" s="26" t="n">
        <v>46093</v>
      </c>
      <c r="B271" s="17" t="inlineStr">
        <is>
          <t>Comision compensacion cheques cfu</t>
        </is>
      </c>
      <c r="C271" s="18" t="n">
        <v>13904.16</v>
      </c>
      <c r="D271" s="17" t="n"/>
      <c r="E271" s="17" t="inlineStr"/>
      <c r="F271" s="17" t="inlineStr">
        <is>
          <t>COMISION</t>
        </is>
      </c>
    </row>
    <row r="272">
      <c r="A272" s="26" t="n">
        <v>46093</v>
      </c>
      <c r="B272" s="17" t="inlineStr">
        <is>
          <t>Percepcion ingresos brutos caba</t>
        </is>
      </c>
      <c r="C272" s="18" t="n">
        <v>695.21</v>
      </c>
      <c r="D272" s="17" t="n"/>
      <c r="E272" s="17" t="inlineStr"/>
      <c r="F272" s="17" t="inlineStr">
        <is>
          <t>PERC_IIBB</t>
        </is>
      </c>
    </row>
    <row r="273">
      <c r="A273" s="26" t="n">
        <v>46093</v>
      </c>
      <c r="B273" s="17" t="inlineStr">
        <is>
          <t>Iva 21% reg de transfisc ley27743</t>
        </is>
      </c>
      <c r="C273" s="18" t="n">
        <v>2919.87</v>
      </c>
      <c r="D273" s="17" t="n"/>
      <c r="E273" s="17" t="inlineStr"/>
      <c r="F273" s="17" t="inlineStr">
        <is>
          <t>IVA</t>
        </is>
      </c>
    </row>
    <row r="274">
      <c r="A274" s="26" t="n">
        <v>46093</v>
      </c>
      <c r="B274" s="17" t="inlineStr">
        <is>
          <t>Iva percepcion rg 2408</t>
        </is>
      </c>
      <c r="C274" s="18" t="n">
        <v>417.12</v>
      </c>
      <c r="D274" s="17" t="n"/>
      <c r="E274" s="17" t="inlineStr"/>
      <c r="F274" s="17" t="inlineStr">
        <is>
          <t>IVA</t>
        </is>
      </c>
    </row>
    <row r="275">
      <c r="A275" s="26" t="n">
        <v>46093</v>
      </c>
      <c r="B275" s="17" t="inlineStr">
        <is>
          <t>Pago comercios getnet nro.liq.</t>
        </is>
      </c>
      <c r="C275" s="17" t="n"/>
      <c r="D275" s="18" t="n">
        <v>719644.91</v>
      </c>
      <c r="E275" s="17" t="inlineStr">
        <is>
          <t xml:space="preserve"> 00005627/000000000008581</t>
        </is>
      </c>
      <c r="F275" s="17" t="inlineStr">
        <is>
          <t>OTRO</t>
        </is>
      </c>
    </row>
    <row r="276">
      <c r="A276" s="26" t="n">
        <v>46093</v>
      </c>
      <c r="B276" s="17" t="inlineStr">
        <is>
          <t>Transferencia recibida</t>
        </is>
      </c>
      <c r="C276" s="17" t="n"/>
      <c r="D276" s="18" t="n">
        <v>2096323.89</v>
      </c>
      <c r="E276" s="17" t="inlineStr">
        <is>
          <t xml:space="preserve"> De univ.nac.de s.luis / op 954 - var / 30577357532</t>
        </is>
      </c>
      <c r="F276" s="17" t="inlineStr">
        <is>
          <t>OTRO</t>
        </is>
      </c>
    </row>
    <row r="277">
      <c r="A277" s="26" t="n">
        <v>46093</v>
      </c>
      <c r="B277" s="17" t="inlineStr">
        <is>
          <t>Transf recibida cvu mismo titular</t>
        </is>
      </c>
      <c r="C277" s="17" t="n"/>
      <c r="D277" s="18" t="n">
        <v>1000000</v>
      </c>
      <c r="E277" s="17" t="inlineStr">
        <is>
          <t xml:space="preserve"> De instrumental pasteur s r / mercado pago /30626629942</t>
        </is>
      </c>
      <c r="F277" s="17" t="inlineStr">
        <is>
          <t>OTRO</t>
        </is>
      </c>
    </row>
    <row r="278">
      <c r="A278" s="26" t="n">
        <v>46093</v>
      </c>
      <c r="B278" s="17" t="inlineStr">
        <is>
          <t>Transferencia recibida</t>
        </is>
      </c>
      <c r="C278" s="17" t="n"/>
      <c r="D278" s="18" t="n">
        <v>225324.19</v>
      </c>
      <c r="E278" s="17" t="inlineStr">
        <is>
          <t xml:space="preserve"> De vera,mar a agustina / transf - var / 27373292090</t>
        </is>
      </c>
      <c r="F278" s="17" t="inlineStr">
        <is>
          <t>OTRO</t>
        </is>
      </c>
    </row>
    <row r="279">
      <c r="A279" s="26" t="n">
        <v>46093</v>
      </c>
      <c r="B279" s="17" t="inlineStr">
        <is>
          <t>Transferencia realizada</t>
        </is>
      </c>
      <c r="C279" s="18" t="n">
        <v>500000</v>
      </c>
      <c r="D279" s="17" t="n"/>
      <c r="E279" s="17" t="inlineStr">
        <is>
          <t xml:space="preserve"> A lipower s. a. / varios - var / 30717439186</t>
        </is>
      </c>
      <c r="F279" s="17" t="inlineStr">
        <is>
          <t>OTRO</t>
        </is>
      </c>
    </row>
    <row r="280">
      <c r="A280" s="26" t="n">
        <v>46093</v>
      </c>
      <c r="B280" s="17" t="inlineStr">
        <is>
          <t>Transferencia realizada</t>
        </is>
      </c>
      <c r="C280" s="18" t="n">
        <v>210267.75</v>
      </c>
      <c r="D280" s="17" t="n"/>
      <c r="E280" s="17" t="inlineStr">
        <is>
          <t xml:space="preserve"> A prunus srl / factura - fac / 30708454970</t>
        </is>
      </c>
      <c r="F280" s="17" t="inlineStr">
        <is>
          <t>OTRO</t>
        </is>
      </c>
    </row>
    <row r="281">
      <c r="A281" s="26" t="n">
        <v>46093</v>
      </c>
      <c r="B281" s="17" t="inlineStr">
        <is>
          <t>Debito transf. online banking emp</t>
        </is>
      </c>
      <c r="C281" s="18" t="n">
        <v>49965.71</v>
      </c>
      <c r="D281" s="17" t="n"/>
      <c r="E281" s="17" t="inlineStr">
        <is>
          <t xml:space="preserve"> A vanaty srl / factura - fac / 30708798009</t>
        </is>
      </c>
      <c r="F281" s="17" t="inlineStr">
        <is>
          <t>OTRO</t>
        </is>
      </c>
    </row>
    <row r="282">
      <c r="A282" s="26" t="n">
        <v>46093</v>
      </c>
      <c r="B282" s="17" t="inlineStr">
        <is>
          <t>Debito transf. online banking emp</t>
        </is>
      </c>
      <c r="C282" s="18" t="n">
        <v>902000</v>
      </c>
      <c r="D282" s="17" t="n"/>
      <c r="E282" s="17" t="inlineStr">
        <is>
          <t xml:space="preserve"> A sabrina garcia / factura - fac / 27313754966</t>
        </is>
      </c>
      <c r="F282" s="17" t="inlineStr">
        <is>
          <t>OTRO</t>
        </is>
      </c>
    </row>
    <row r="283">
      <c r="A283" s="26" t="n">
        <v>46093</v>
      </c>
      <c r="B283" s="17" t="inlineStr">
        <is>
          <t>Transferencia realizada</t>
        </is>
      </c>
      <c r="C283" s="18" t="n">
        <v>487018.92</v>
      </c>
      <c r="D283" s="17" t="n"/>
      <c r="E283" s="17" t="inlineStr">
        <is>
          <t xml:space="preserve"> A msm tech / factura - fac / 30717011666</t>
        </is>
      </c>
      <c r="F283" s="17" t="inlineStr">
        <is>
          <t>OTRO</t>
        </is>
      </c>
    </row>
    <row r="284">
      <c r="A284" s="26" t="n">
        <v>46093</v>
      </c>
      <c r="B284" s="17" t="inlineStr">
        <is>
          <t>Transferencia realizada</t>
        </is>
      </c>
      <c r="C284" s="18" t="n">
        <v>623535.9300000001</v>
      </c>
      <c r="D284" s="17" t="n"/>
      <c r="E284" s="17" t="inlineStr">
        <is>
          <t xml:space="preserve"> A correo andreani sa / factura - fac / 33699685459</t>
        </is>
      </c>
      <c r="F284" s="17" t="inlineStr">
        <is>
          <t>OTRO</t>
        </is>
      </c>
    </row>
    <row r="285">
      <c r="A285" s="26" t="n">
        <v>46093</v>
      </c>
      <c r="B285" s="17" t="inlineStr">
        <is>
          <t>Transferencia realizada</t>
        </is>
      </c>
      <c r="C285" s="18" t="n">
        <v>490959.39</v>
      </c>
      <c r="D285" s="17" t="n"/>
      <c r="E285" s="17" t="inlineStr">
        <is>
          <t xml:space="preserve"> A andreani logistica sa / factura - fac / 30698011145</t>
        </is>
      </c>
      <c r="F285" s="17" t="inlineStr">
        <is>
          <t>OTRO</t>
        </is>
      </c>
    </row>
    <row r="286">
      <c r="A286" s="26" t="n">
        <v>46093</v>
      </c>
      <c r="B286" s="17" t="inlineStr">
        <is>
          <t>Transferencia realizada</t>
        </is>
      </c>
      <c r="C286" s="18" t="n">
        <v>1436365.77</v>
      </c>
      <c r="D286" s="17" t="n"/>
      <c r="E286" s="17" t="inlineStr">
        <is>
          <t xml:space="preserve"> A gaimberan lucia emilia / factura - fac / 27319701813</t>
        </is>
      </c>
      <c r="F286" s="17" t="inlineStr">
        <is>
          <t>OTRO</t>
        </is>
      </c>
    </row>
    <row r="287">
      <c r="A287" s="26" t="n">
        <v>46093</v>
      </c>
      <c r="B287" s="17" t="inlineStr">
        <is>
          <t>Transferencia recibida</t>
        </is>
      </c>
      <c r="C287" s="17" t="n"/>
      <c r="D287" s="18" t="n">
        <v>186936.66</v>
      </c>
      <c r="E287" s="17" t="inlineStr">
        <is>
          <t xml:space="preserve"> De municipalidad de salto / var trans - var / 30999033764</t>
        </is>
      </c>
      <c r="F287" s="17" t="inlineStr">
        <is>
          <t>OTRO</t>
        </is>
      </c>
    </row>
    <row r="288">
      <c r="A288" s="26" t="n">
        <v>46093</v>
      </c>
      <c r="B288" s="17" t="inlineStr">
        <is>
          <t>Transferencia recibida</t>
        </is>
      </c>
      <c r="C288" s="17" t="n"/>
      <c r="D288" s="18" t="n">
        <v>10786.55</v>
      </c>
      <c r="E288" s="17" t="inlineStr">
        <is>
          <t xml:space="preserve"> De romero/andrea miche / 0045503562 - var / 27455035622</t>
        </is>
      </c>
      <c r="F288" s="17" t="inlineStr">
        <is>
          <t>OTRO</t>
        </is>
      </c>
    </row>
    <row r="289">
      <c r="A289" s="26" t="n">
        <v>46093</v>
      </c>
      <c r="B289" s="17" t="inlineStr">
        <is>
          <t>Pago a proveedores recibido</t>
        </is>
      </c>
      <c r="C289" s="17" t="n"/>
      <c r="D289" s="18" t="n">
        <v>3034757.92</v>
      </c>
      <c r="E289" s="17" t="inlineStr">
        <is>
          <t xml:space="preserve"> Fundacion instituto universit 30702166779 03 3339062</t>
        </is>
      </c>
      <c r="F289" s="17" t="inlineStr">
        <is>
          <t>OTRO</t>
        </is>
      </c>
    </row>
    <row r="290">
      <c r="A290" s="26" t="n">
        <v>46093</v>
      </c>
      <c r="B290" s="17" t="inlineStr">
        <is>
          <t>Transferencia recibida</t>
        </is>
      </c>
      <c r="C290" s="17" t="n"/>
      <c r="D290" s="18" t="n">
        <v>1269139.2</v>
      </c>
      <c r="E290" s="17" t="inlineStr">
        <is>
          <t xml:space="preserve"> De campora/marcela victor / inst pasteur - var / 27270710285</t>
        </is>
      </c>
      <c r="F290" s="17" t="inlineStr">
        <is>
          <t>OTRO</t>
        </is>
      </c>
    </row>
    <row r="291">
      <c r="A291" s="26" t="n">
        <v>46093</v>
      </c>
      <c r="B291" s="17" t="inlineStr">
        <is>
          <t>Pago a proveedores recibido</t>
        </is>
      </c>
      <c r="C291" s="17" t="n"/>
      <c r="D291" s="18" t="n">
        <v>998082.4</v>
      </c>
      <c r="E291" s="17" t="inlineStr">
        <is>
          <t xml:space="preserve"> Fundacion pablo cassara 33626615959 03 6415261</t>
        </is>
      </c>
      <c r="F291" s="17" t="inlineStr">
        <is>
          <t>OTRO</t>
        </is>
      </c>
    </row>
    <row r="292">
      <c r="A292" s="26" t="n">
        <v>46093</v>
      </c>
      <c r="B292" s="17" t="inlineStr">
        <is>
          <t>Credito transf online banking emp</t>
        </is>
      </c>
      <c r="C292" s="17" t="n"/>
      <c r="D292" s="18" t="n">
        <v>1744696.39</v>
      </c>
      <c r="E292" s="17" t="inlineStr">
        <is>
          <t xml:space="preserve"> De asoc civ la educacion / factura - fac / 30528818400</t>
        </is>
      </c>
      <c r="F292" s="17" t="inlineStr">
        <is>
          <t>OTRO</t>
        </is>
      </c>
    </row>
    <row r="293">
      <c r="A293" s="26" t="n">
        <v>46093</v>
      </c>
      <c r="B293" s="17" t="inlineStr">
        <is>
          <t>Credito transf online banking emp</t>
        </is>
      </c>
      <c r="C293" s="17" t="n"/>
      <c r="D293" s="18" t="n">
        <v>764504.9399999999</v>
      </c>
      <c r="E293" s="17" t="inlineStr">
        <is>
          <t xml:space="preserve"> De lilis s.a. / factura - fac / 30624317277</t>
        </is>
      </c>
      <c r="F293" s="17" t="inlineStr">
        <is>
          <t>OTRO</t>
        </is>
      </c>
    </row>
    <row r="294">
      <c r="A294" s="26" t="n">
        <v>46093</v>
      </c>
      <c r="B294" s="17" t="inlineStr">
        <is>
          <t>Pago a proveedores recibido</t>
        </is>
      </c>
      <c r="C294" s="17" t="n"/>
      <c r="D294" s="18" t="n">
        <v>3419538.53</v>
      </c>
      <c r="E294" s="17" t="inlineStr">
        <is>
          <t xml:space="preserve"> Universidad juan agustin maza 30595517199 03 6513639</t>
        </is>
      </c>
      <c r="F294" s="17" t="inlineStr">
        <is>
          <t>OTRO</t>
        </is>
      </c>
    </row>
    <row r="295">
      <c r="A295" s="26" t="n">
        <v>46093</v>
      </c>
      <c r="B295" s="17" t="inlineStr">
        <is>
          <t>Suscripcion fondos comunes invers</t>
        </is>
      </c>
      <c r="C295" s="18" t="n">
        <v>11000000</v>
      </c>
      <c r="D295" s="17" t="n"/>
      <c r="E295" s="17" t="inlineStr"/>
      <c r="F295" s="17" t="inlineStr">
        <is>
          <t>OTRO</t>
        </is>
      </c>
    </row>
    <row r="296">
      <c r="A296" s="26" t="n">
        <v>46093</v>
      </c>
      <c r="B296" s="17" t="inlineStr">
        <is>
          <t>Pago a proveedores recibido</t>
        </is>
      </c>
      <c r="C296" s="17" t="n"/>
      <c r="D296" s="18" t="n">
        <v>276038.2</v>
      </c>
      <c r="E296" s="17" t="inlineStr">
        <is>
          <t xml:space="preserve"> Laboratorios biofarma sa 30690280988 03 3405959</t>
        </is>
      </c>
      <c r="F296" s="17" t="inlineStr">
        <is>
          <t>OTRO</t>
        </is>
      </c>
    </row>
    <row r="297">
      <c r="A297" s="26" t="n">
        <v>46093</v>
      </c>
      <c r="B297" s="17" t="inlineStr">
        <is>
          <t>Deposito echeq canje interno 24hs</t>
        </is>
      </c>
      <c r="C297" s="17" t="n"/>
      <c r="D297" s="18" t="n">
        <v>3189352.5</v>
      </c>
      <c r="E297" s="17" t="inlineStr"/>
      <c r="F297" s="17" t="inlineStr">
        <is>
          <t>OTRO</t>
        </is>
      </c>
    </row>
    <row r="298">
      <c r="A298" s="26" t="n">
        <v>46093</v>
      </c>
      <c r="B298" s="17" t="inlineStr">
        <is>
          <t>Impuesto ley 25.413 debito 0,6%</t>
        </is>
      </c>
      <c r="C298" s="18" t="n">
        <v>28682.12</v>
      </c>
      <c r="D298" s="17" t="n"/>
      <c r="E298" s="17" t="inlineStr"/>
      <c r="F298" s="17" t="inlineStr">
        <is>
          <t>LEY25413_DEBITO</t>
        </is>
      </c>
    </row>
    <row r="299">
      <c r="A299" s="26" t="n">
        <v>46093</v>
      </c>
      <c r="B299" s="17" t="inlineStr">
        <is>
          <t>Impuesto ley 25.413 credito 0,6%</t>
        </is>
      </c>
      <c r="C299" s="18" t="n">
        <v>133806.09</v>
      </c>
      <c r="D299" s="17" t="n"/>
      <c r="E299" s="17" t="inlineStr"/>
      <c r="F299" s="17" t="inlineStr">
        <is>
          <t>LEY25413_CREDITO</t>
        </is>
      </c>
    </row>
    <row r="300">
      <c r="A300" s="26" t="n">
        <v>46093</v>
      </c>
      <c r="B300" s="17" t="inlineStr">
        <is>
          <t>Comision transf otros bcos canales</t>
        </is>
      </c>
      <c r="C300" s="18" t="n">
        <v>720</v>
      </c>
      <c r="D300" s="17" t="n"/>
      <c r="E300" s="17" t="inlineStr">
        <is>
          <t xml:space="preserve"> Comision transferencias</t>
        </is>
      </c>
      <c r="F300" s="17" t="inlineStr">
        <is>
          <t>COMISION</t>
        </is>
      </c>
    </row>
    <row r="301">
      <c r="A301" s="26" t="n">
        <v>46093</v>
      </c>
      <c r="B301" s="17" t="inlineStr">
        <is>
          <t>Iva 21% reg de transfisc ley27743</t>
        </is>
      </c>
      <c r="C301" s="18" t="n">
        <v>151.2</v>
      </c>
      <c r="D301" s="17" t="n"/>
      <c r="E301" s="17" t="inlineStr"/>
      <c r="F301" s="17" t="inlineStr">
        <is>
          <t>IVA</t>
        </is>
      </c>
    </row>
    <row r="302">
      <c r="A302" s="26" t="n">
        <v>46093</v>
      </c>
      <c r="B302" s="17" t="inlineStr">
        <is>
          <t>Comision transf otros bcos canales</t>
        </is>
      </c>
      <c r="C302" s="18" t="n">
        <v>1485</v>
      </c>
      <c r="D302" s="17" t="n"/>
      <c r="E302" s="17" t="inlineStr">
        <is>
          <t xml:space="preserve"> Comision transferencias</t>
        </is>
      </c>
      <c r="F302" s="17" t="inlineStr">
        <is>
          <t>COMISION</t>
        </is>
      </c>
    </row>
    <row r="303">
      <c r="A303" s="26" t="n">
        <v>46093</v>
      </c>
      <c r="B303" s="17" t="inlineStr">
        <is>
          <t>Iva 21% reg de transfisc ley27743</t>
        </is>
      </c>
      <c r="C303" s="18" t="n">
        <v>311.85</v>
      </c>
      <c r="D303" s="17" t="n"/>
      <c r="E303" s="17" t="inlineStr"/>
      <c r="F303" s="17" t="inlineStr">
        <is>
          <t>IVA</t>
        </is>
      </c>
    </row>
    <row r="304">
      <c r="A304" s="26" t="n">
        <v>46093</v>
      </c>
      <c r="B304" s="17" t="inlineStr">
        <is>
          <t>Comision transf otros bcos canales</t>
        </is>
      </c>
      <c r="C304" s="18" t="n">
        <v>1485</v>
      </c>
      <c r="D304" s="17" t="n"/>
      <c r="E304" s="17" t="inlineStr">
        <is>
          <t xml:space="preserve"> Comision transferencias</t>
        </is>
      </c>
      <c r="F304" s="17" t="inlineStr">
        <is>
          <t>COMISION</t>
        </is>
      </c>
    </row>
    <row r="305">
      <c r="A305" s="26" t="n">
        <v>46093</v>
      </c>
      <c r="B305" s="17" t="inlineStr">
        <is>
          <t>Iva 21% reg de transfisc ley27743</t>
        </is>
      </c>
      <c r="C305" s="18" t="n">
        <v>311.85</v>
      </c>
      <c r="D305" s="17" t="n"/>
      <c r="E305" s="17" t="inlineStr"/>
      <c r="F305" s="17" t="inlineStr">
        <is>
          <t>IVA</t>
        </is>
      </c>
    </row>
    <row r="306">
      <c r="A306" s="26" t="n">
        <v>46093</v>
      </c>
      <c r="B306" s="17" t="inlineStr">
        <is>
          <t>Comision transf otros bcos canales</t>
        </is>
      </c>
      <c r="C306" s="18" t="n">
        <v>1485</v>
      </c>
      <c r="D306" s="17" t="n"/>
      <c r="E306" s="17" t="inlineStr">
        <is>
          <t xml:space="preserve"> Comision transferencias</t>
        </is>
      </c>
      <c r="F306" s="17" t="inlineStr">
        <is>
          <t>COMISION</t>
        </is>
      </c>
    </row>
    <row r="307">
      <c r="A307" s="26" t="n">
        <v>46093</v>
      </c>
      <c r="B307" s="17" t="inlineStr">
        <is>
          <t>Iva 21% reg de transfisc ley27743</t>
        </is>
      </c>
      <c r="C307" s="18" t="n">
        <v>311.85</v>
      </c>
      <c r="D307" s="17" t="n"/>
      <c r="E307" s="17" t="inlineStr"/>
      <c r="F307" s="17" t="inlineStr">
        <is>
          <t>IVA</t>
        </is>
      </c>
    </row>
    <row r="308">
      <c r="A308" s="26" t="n">
        <v>46093</v>
      </c>
      <c r="B308" s="17" t="inlineStr">
        <is>
          <t>Comision transf otros bcos canales</t>
        </is>
      </c>
      <c r="C308" s="18" t="n">
        <v>1485</v>
      </c>
      <c r="D308" s="17" t="n"/>
      <c r="E308" s="17" t="inlineStr">
        <is>
          <t xml:space="preserve"> Comision transferencias</t>
        </is>
      </c>
      <c r="F308" s="17" t="inlineStr">
        <is>
          <t>COMISION</t>
        </is>
      </c>
    </row>
    <row r="309">
      <c r="A309" s="26" t="n">
        <v>46093</v>
      </c>
      <c r="B309" s="17" t="inlineStr">
        <is>
          <t>Iva 21% reg de transfisc ley27743</t>
        </is>
      </c>
      <c r="C309" s="18" t="n">
        <v>311.85</v>
      </c>
      <c r="D309" s="17" t="n"/>
      <c r="E309" s="17" t="inlineStr"/>
      <c r="F309" s="17" t="inlineStr">
        <is>
          <t>IVA</t>
        </is>
      </c>
    </row>
    <row r="310">
      <c r="A310" s="26" t="n">
        <v>46093</v>
      </c>
      <c r="B310" s="17" t="inlineStr">
        <is>
          <t>Comision transf otros bcos canales</t>
        </is>
      </c>
      <c r="C310" s="18" t="n">
        <v>1485</v>
      </c>
      <c r="D310" s="17" t="n"/>
      <c r="E310" s="17" t="inlineStr">
        <is>
          <t xml:space="preserve"> Comision transferencias</t>
        </is>
      </c>
      <c r="F310" s="17" t="inlineStr">
        <is>
          <t>COMISION</t>
        </is>
      </c>
    </row>
    <row r="311">
      <c r="A311" s="26" t="n">
        <v>46093</v>
      </c>
      <c r="B311" s="17" t="inlineStr">
        <is>
          <t>Iva 21% reg de transfisc ley27743</t>
        </is>
      </c>
      <c r="C311" s="18" t="n">
        <v>311.85</v>
      </c>
      <c r="D311" s="17" t="n"/>
      <c r="E311" s="17" t="inlineStr"/>
      <c r="F311" s="17" t="inlineStr">
        <is>
          <t>IVA</t>
        </is>
      </c>
    </row>
    <row r="312">
      <c r="A312" s="26" t="n">
        <v>46093</v>
      </c>
      <c r="B312" s="17" t="inlineStr">
        <is>
          <t>Regimen de recaudacion sircreb n</t>
        </is>
      </c>
      <c r="C312" s="18" t="n">
        <v>267612.18</v>
      </c>
      <c r="D312" s="17" t="n"/>
      <c r="E312" s="17" t="inlineStr">
        <is>
          <t xml:space="preserve"> Resp:30626629942 / 1,20% sobre</t>
        </is>
      </c>
      <c r="F312" s="17" t="inlineStr">
        <is>
          <t>RET_SIRCREB</t>
        </is>
      </c>
    </row>
    <row r="313">
      <c r="A313" s="26" t="n">
        <v>46093</v>
      </c>
      <c r="B313" s="17" t="inlineStr">
        <is>
          <t>Adelanto iibb tuc letra h</t>
        </is>
      </c>
      <c r="C313" s="18" t="n">
        <v>22690.3</v>
      </c>
      <c r="D313" s="17" t="n"/>
      <c r="E313" s="17" t="inlineStr">
        <is>
          <t xml:space="preserve"> Resp:30626629942 / 0,12% sobre</t>
        </is>
      </c>
      <c r="F313" s="17" t="inlineStr">
        <is>
          <t>RET_IIBB_TUCUMAN</t>
        </is>
      </c>
    </row>
    <row r="314">
      <c r="A314" s="26" t="n">
        <v>46094</v>
      </c>
      <c r="B314" s="17" t="inlineStr">
        <is>
          <t>Pago comercios getnet nro.liq.</t>
        </is>
      </c>
      <c r="C314" s="17" t="n"/>
      <c r="D314" s="18" t="n">
        <v>16740.1</v>
      </c>
      <c r="E314" s="17" t="inlineStr">
        <is>
          <t xml:space="preserve"> 00003483/000000000008581</t>
        </is>
      </c>
      <c r="F314" s="17" t="inlineStr">
        <is>
          <t>OTRO</t>
        </is>
      </c>
    </row>
    <row r="315">
      <c r="A315" s="26" t="n">
        <v>46094</v>
      </c>
      <c r="B315" s="17" t="inlineStr">
        <is>
          <t>Pago a proveedores</t>
        </is>
      </c>
      <c r="C315" s="17" t="n"/>
      <c r="D315" s="18" t="n">
        <v>17194.12</v>
      </c>
      <c r="E315" s="17" t="inlineStr">
        <is>
          <t xml:space="preserve"> 260312078smurfit kappa de arge cuit 30663418579</t>
        </is>
      </c>
      <c r="F315" s="17" t="inlineStr">
        <is>
          <t>OTRO</t>
        </is>
      </c>
    </row>
    <row r="316">
      <c r="A316" s="26" t="n">
        <v>46094</v>
      </c>
      <c r="B316" s="17" t="inlineStr">
        <is>
          <t>Pago comercios getnet nro.liq.</t>
        </is>
      </c>
      <c r="C316" s="17" t="n"/>
      <c r="D316" s="18" t="n">
        <v>144791.23</v>
      </c>
      <c r="E316" s="17" t="inlineStr">
        <is>
          <t xml:space="preserve"> 00005554/000000000008581</t>
        </is>
      </c>
      <c r="F316" s="17" t="inlineStr">
        <is>
          <t>OTRO</t>
        </is>
      </c>
    </row>
    <row r="317">
      <c r="A317" s="26" t="n">
        <v>46094</v>
      </c>
      <c r="B317" s="17" t="inlineStr">
        <is>
          <t>Pago a proveedores recibido</t>
        </is>
      </c>
      <c r="C317" s="17" t="n"/>
      <c r="D317" s="18" t="n">
        <v>72926.7</v>
      </c>
      <c r="E317" s="17" t="inlineStr">
        <is>
          <t xml:space="preserve"> Universidad nacional de cuyo 30546669463 03 1104615</t>
        </is>
      </c>
      <c r="F317" s="17" t="inlineStr">
        <is>
          <t>OTRO</t>
        </is>
      </c>
    </row>
    <row r="318">
      <c r="A318" s="26" t="n">
        <v>46094</v>
      </c>
      <c r="B318" s="17" t="inlineStr">
        <is>
          <t>Pago a proveedores recibido</t>
        </is>
      </c>
      <c r="C318" s="17" t="n"/>
      <c r="D318" s="18" t="n">
        <v>15441</v>
      </c>
      <c r="E318" s="17" t="inlineStr">
        <is>
          <t xml:space="preserve"> Universidad nacional de cuyo 30546669463 03 1106339</t>
        </is>
      </c>
      <c r="F318" s="17" t="inlineStr">
        <is>
          <t>OTRO</t>
        </is>
      </c>
    </row>
    <row r="319">
      <c r="A319" s="26" t="n">
        <v>46094</v>
      </c>
      <c r="B319" s="17" t="inlineStr">
        <is>
          <t>Pago a proveedores recibido</t>
        </is>
      </c>
      <c r="C319" s="17" t="n"/>
      <c r="D319" s="18" t="n">
        <v>1592299.5</v>
      </c>
      <c r="E319" s="17" t="inlineStr">
        <is>
          <t xml:space="preserve"> Asoc. coop. facultad de cienc 30629539731 03 0227623</t>
        </is>
      </c>
      <c r="F319" s="17" t="inlineStr">
        <is>
          <t>OTRO</t>
        </is>
      </c>
    </row>
    <row r="320">
      <c r="A320" s="26" t="n">
        <v>46094</v>
      </c>
      <c r="B320" s="17" t="inlineStr">
        <is>
          <t>Transferencia recibida</t>
        </is>
      </c>
      <c r="C320" s="17" t="n"/>
      <c r="D320" s="18" t="n">
        <v>463200</v>
      </c>
      <c r="E320" s="17" t="inlineStr">
        <is>
          <t xml:space="preserve"> De moreyra, fernando andr / varios - var / 20248243725</t>
        </is>
      </c>
      <c r="F320" s="17" t="inlineStr">
        <is>
          <t>OTRO</t>
        </is>
      </c>
    </row>
    <row r="321">
      <c r="A321" s="26" t="n">
        <v>46094</v>
      </c>
      <c r="B321" s="17" t="inlineStr">
        <is>
          <t>Pago a proveedores recibido</t>
        </is>
      </c>
      <c r="C321" s="17" t="n"/>
      <c r="D321" s="18" t="n">
        <v>685989.9300000001</v>
      </c>
      <c r="E321" s="17" t="inlineStr">
        <is>
          <t xml:space="preserve"> Universidad de buenos aires 30546666561 03 3492116</t>
        </is>
      </c>
      <c r="F321" s="17" t="inlineStr">
        <is>
          <t>OTRO</t>
        </is>
      </c>
    </row>
    <row r="322">
      <c r="A322" s="26" t="n">
        <v>46094</v>
      </c>
      <c r="B322" s="17" t="inlineStr">
        <is>
          <t>Suscripcion fondos comunes invers</t>
        </is>
      </c>
      <c r="C322" s="18" t="n">
        <v>6000000</v>
      </c>
      <c r="D322" s="17" t="n"/>
      <c r="E322" s="17" t="inlineStr"/>
      <c r="F322" s="17" t="inlineStr">
        <is>
          <t>OTRO</t>
        </is>
      </c>
    </row>
    <row r="323">
      <c r="A323" s="26" t="n">
        <v>46094</v>
      </c>
      <c r="B323" s="17" t="inlineStr">
        <is>
          <t>Transferencia recibida</t>
        </is>
      </c>
      <c r="C323" s="17" t="n"/>
      <c r="D323" s="18" t="n">
        <v>326369.75</v>
      </c>
      <c r="E323" s="17" t="inlineStr">
        <is>
          <t xml:space="preserve"> De medizin s.a.s / - fac / 30716914816</t>
        </is>
      </c>
      <c r="F323" s="17" t="inlineStr">
        <is>
          <t>OTRO</t>
        </is>
      </c>
    </row>
    <row r="324">
      <c r="A324" s="26" t="n">
        <v>46094</v>
      </c>
      <c r="B324" s="17" t="inlineStr">
        <is>
          <t>Pago a proveedores recibido</t>
        </is>
      </c>
      <c r="C324" s="17" t="n"/>
      <c r="D324" s="18" t="n">
        <v>663142.12</v>
      </c>
      <c r="E324" s="17" t="inlineStr">
        <is>
          <t xml:space="preserve"> Fund favaloro p l doc e inv m 33559768869 03 6696388</t>
        </is>
      </c>
      <c r="F324" s="17" t="inlineStr">
        <is>
          <t>OTRO</t>
        </is>
      </c>
    </row>
    <row r="325">
      <c r="A325" s="26" t="n">
        <v>46094</v>
      </c>
      <c r="B325" s="17" t="inlineStr">
        <is>
          <t>Transferencia recibida</t>
        </is>
      </c>
      <c r="C325" s="17" t="n"/>
      <c r="D325" s="18" t="n">
        <v>4881.68</v>
      </c>
      <c r="E325" s="17" t="inlineStr">
        <is>
          <t xml:space="preserve"> De segovia, samira agusti / varios - var / 27459844487</t>
        </is>
      </c>
      <c r="F325" s="17" t="inlineStr">
        <is>
          <t>OTRO</t>
        </is>
      </c>
    </row>
    <row r="326">
      <c r="A326" s="26" t="n">
        <v>46094</v>
      </c>
      <c r="B326" s="17" t="inlineStr">
        <is>
          <t>Transf recibida cvu mismo titular</t>
        </is>
      </c>
      <c r="C326" s="17" t="n"/>
      <c r="D326" s="18" t="n">
        <v>3000000</v>
      </c>
      <c r="E326" s="17" t="inlineStr">
        <is>
          <t xml:space="preserve"> De instrumental pasteur s r / mercado pago /30626629942</t>
        </is>
      </c>
      <c r="F326" s="17" t="inlineStr">
        <is>
          <t>OTRO</t>
        </is>
      </c>
    </row>
    <row r="327">
      <c r="A327" s="26" t="n">
        <v>46094</v>
      </c>
      <c r="B327" s="17" t="inlineStr">
        <is>
          <t>Transferencia realizada</t>
        </is>
      </c>
      <c r="C327" s="18" t="n">
        <v>4713252.5</v>
      </c>
      <c r="D327" s="17" t="n"/>
      <c r="E327" s="17" t="inlineStr">
        <is>
          <t xml:space="preserve"> A / factura - fac / 30717458687</t>
        </is>
      </c>
      <c r="F327" s="17" t="inlineStr">
        <is>
          <t>OTRO</t>
        </is>
      </c>
    </row>
    <row r="328">
      <c r="A328" s="26" t="n">
        <v>46094</v>
      </c>
      <c r="B328" s="17" t="inlineStr">
        <is>
          <t>Impuesto ley 25.413 credito 0,6%</t>
        </is>
      </c>
      <c r="C328" s="18" t="n">
        <v>24017.86</v>
      </c>
      <c r="D328" s="17" t="n"/>
      <c r="E328" s="17" t="inlineStr"/>
      <c r="F328" s="17" t="inlineStr">
        <is>
          <t>LEY25413_CREDITO</t>
        </is>
      </c>
    </row>
    <row r="329">
      <c r="A329" s="26" t="n">
        <v>46094</v>
      </c>
      <c r="B329" s="17" t="inlineStr">
        <is>
          <t>Impuesto ley 25.413 debito 0,6%</t>
        </is>
      </c>
      <c r="C329" s="18" t="n">
        <v>30080.46</v>
      </c>
      <c r="D329" s="17" t="n"/>
      <c r="E329" s="17" t="inlineStr"/>
      <c r="F329" s="17" t="inlineStr">
        <is>
          <t>LEY25413_DEBITO</t>
        </is>
      </c>
    </row>
    <row r="330">
      <c r="A330" s="26" t="n">
        <v>46094</v>
      </c>
      <c r="B330" s="17" t="inlineStr">
        <is>
          <t>Impuesto ley 25.413 credito 0,6%</t>
        </is>
      </c>
      <c r="C330" s="18" t="n">
        <v>14532</v>
      </c>
      <c r="D330" s="17" t="n"/>
      <c r="E330" s="17" t="inlineStr">
        <is>
          <t xml:space="preserve"> Cta orig: 195-032021/8 - base impo. usd 1.730,83</t>
        </is>
      </c>
      <c r="F330" s="17" t="inlineStr">
        <is>
          <t>LEY25413_CREDITO</t>
        </is>
      </c>
    </row>
    <row r="331">
      <c r="A331" s="26" t="n">
        <v>46094</v>
      </c>
      <c r="B331" s="17" t="inlineStr">
        <is>
          <t>Comision transf otros bcos canales</t>
        </is>
      </c>
      <c r="C331" s="18" t="n">
        <v>1485</v>
      </c>
      <c r="D331" s="17" t="n"/>
      <c r="E331" s="17" t="inlineStr">
        <is>
          <t xml:space="preserve"> Comision transferencias</t>
        </is>
      </c>
      <c r="F331" s="17" t="inlineStr">
        <is>
          <t>COMISION</t>
        </is>
      </c>
    </row>
    <row r="332">
      <c r="A332" s="26" t="n">
        <v>46094</v>
      </c>
      <c r="B332" s="17" t="inlineStr">
        <is>
          <t>Iva 21% reg de transfisc ley27743</t>
        </is>
      </c>
      <c r="C332" s="18" t="n">
        <v>311.85</v>
      </c>
      <c r="D332" s="17" t="n"/>
      <c r="E332" s="17" t="inlineStr"/>
      <c r="F332" s="17" t="inlineStr">
        <is>
          <t>IVA</t>
        </is>
      </c>
    </row>
    <row r="333">
      <c r="A333" s="26" t="n">
        <v>46094</v>
      </c>
      <c r="B333" s="17" t="inlineStr">
        <is>
          <t>Regimen de recaudacion sircreb n</t>
        </is>
      </c>
      <c r="C333" s="18" t="n">
        <v>48035.71</v>
      </c>
      <c r="D333" s="17" t="n"/>
      <c r="E333" s="17" t="inlineStr">
        <is>
          <t xml:space="preserve"> Resp:30626629942 / 1,20% sobre</t>
        </is>
      </c>
      <c r="F333" s="17" t="inlineStr">
        <is>
          <t>RET_SIRCREB</t>
        </is>
      </c>
    </row>
    <row r="334">
      <c r="A334" s="26" t="n">
        <v>46094</v>
      </c>
      <c r="B334" s="17" t="inlineStr">
        <is>
          <t>Adelanto iibb tuc letra h</t>
        </is>
      </c>
      <c r="C334" s="18" t="n">
        <v>4609.73</v>
      </c>
      <c r="D334" s="17" t="n"/>
      <c r="E334" s="17" t="inlineStr">
        <is>
          <t xml:space="preserve"> Resp:30626629942 / 0,12% sobre</t>
        </is>
      </c>
      <c r="F334" s="17" t="inlineStr">
        <is>
          <t>RET_IIBB_TUCUMAN</t>
        </is>
      </c>
    </row>
    <row r="335">
      <c r="A335" s="26" t="n">
        <v>46097</v>
      </c>
      <c r="B335" s="17" t="inlineStr">
        <is>
          <t>Deposito echeq otro banco 48hs</t>
        </is>
      </c>
      <c r="C335" s="17" t="n"/>
      <c r="D335" s="18" t="n">
        <v>1272130.37</v>
      </c>
      <c r="E335" s="17" t="inlineStr"/>
      <c r="F335" s="17" t="inlineStr">
        <is>
          <t>OTRO</t>
        </is>
      </c>
    </row>
    <row r="336">
      <c r="A336" s="26" t="n">
        <v>46097</v>
      </c>
      <c r="B336" s="17" t="inlineStr">
        <is>
          <t>Pago comercios getnet nro.liq.</t>
        </is>
      </c>
      <c r="C336" s="17" t="n"/>
      <c r="D336" s="18" t="n">
        <v>667562</v>
      </c>
      <c r="E336" s="17" t="inlineStr">
        <is>
          <t xml:space="preserve"> 00003998/000000000008581</t>
        </is>
      </c>
      <c r="F336" s="17" t="inlineStr">
        <is>
          <t>OTRO</t>
        </is>
      </c>
    </row>
    <row r="337">
      <c r="A337" s="26" t="n">
        <v>46097</v>
      </c>
      <c r="B337" s="17" t="inlineStr">
        <is>
          <t>Debito automatico</t>
        </is>
      </c>
      <c r="C337" s="18" t="n">
        <v>1214855.04</v>
      </c>
      <c r="D337" s="17" t="n"/>
      <c r="E337" s="17" t="inlineStr">
        <is>
          <t xml:space="preserve"> Allianz -instrumenta00001055218</t>
        </is>
      </c>
      <c r="F337" s="17" t="inlineStr">
        <is>
          <t>DEB_AUTOMATICO</t>
        </is>
      </c>
    </row>
    <row r="338">
      <c r="A338" s="26" t="n">
        <v>46097</v>
      </c>
      <c r="B338" s="17" t="inlineStr">
        <is>
          <t>Debito automatico</t>
        </is>
      </c>
      <c r="C338" s="18" t="n">
        <v>364826.34</v>
      </c>
      <c r="D338" s="17" t="n"/>
      <c r="E338" s="17" t="inlineStr">
        <is>
          <t xml:space="preserve"> Allianz -instrumenta00001055218</t>
        </is>
      </c>
      <c r="F338" s="17" t="inlineStr">
        <is>
          <t>DEB_AUTOMATICO</t>
        </is>
      </c>
    </row>
    <row r="339">
      <c r="A339" s="26" t="n">
        <v>46097</v>
      </c>
      <c r="B339" s="17" t="inlineStr">
        <is>
          <t>Debito automatico</t>
        </is>
      </c>
      <c r="C339" s="18" t="n">
        <v>524468.05</v>
      </c>
      <c r="D339" s="17" t="n"/>
      <c r="E339" s="17" t="inlineStr">
        <is>
          <t xml:space="preserve"> Allianz -instrumenta00001055218</t>
        </is>
      </c>
      <c r="F339" s="17" t="inlineStr">
        <is>
          <t>DEB_AUTOMATICO</t>
        </is>
      </c>
    </row>
    <row r="340">
      <c r="A340" s="26" t="n">
        <v>46097</v>
      </c>
      <c r="B340" s="17" t="inlineStr">
        <is>
          <t>Debito automatico</t>
        </is>
      </c>
      <c r="C340" s="18" t="n">
        <v>301511.91</v>
      </c>
      <c r="D340" s="17" t="n"/>
      <c r="E340" s="17" t="inlineStr">
        <is>
          <t xml:space="preserve"> Allianz -instrumenta00001055218</t>
        </is>
      </c>
      <c r="F340" s="17" t="inlineStr">
        <is>
          <t>DEB_AUTOMATICO</t>
        </is>
      </c>
    </row>
    <row r="341">
      <c r="A341" s="26" t="n">
        <v>46097</v>
      </c>
      <c r="B341" s="17" t="inlineStr">
        <is>
          <t>Snp debito directo</t>
        </is>
      </c>
      <c r="C341" s="18" t="n">
        <v>95216.62</v>
      </c>
      <c r="D341" s="17" t="n"/>
      <c r="E341" s="17" t="inlineStr">
        <is>
          <t xml:space="preserve"> Aysa sa -0000028214</t>
        </is>
      </c>
      <c r="F341" s="17" t="inlineStr">
        <is>
          <t>OTRO</t>
        </is>
      </c>
    </row>
    <row r="342">
      <c r="A342" s="26" t="n">
        <v>46097</v>
      </c>
      <c r="B342" s="17" t="inlineStr">
        <is>
          <t>Pago comercios getnet nro.liq.</t>
        </is>
      </c>
      <c r="C342" s="17" t="n"/>
      <c r="D342" s="18" t="n">
        <v>258192.72</v>
      </c>
      <c r="E342" s="17" t="inlineStr">
        <is>
          <t xml:space="preserve"> 00006172/000000000008581</t>
        </is>
      </c>
      <c r="F342" s="17" t="inlineStr">
        <is>
          <t>OTRO</t>
        </is>
      </c>
    </row>
    <row r="343">
      <c r="A343" s="26" t="n">
        <v>46097</v>
      </c>
      <c r="B343" s="17" t="inlineStr">
        <is>
          <t>Transferencia recibida</t>
        </is>
      </c>
      <c r="C343" s="17" t="n"/>
      <c r="D343" s="18" t="n">
        <v>118943</v>
      </c>
      <c r="E343" s="17" t="inlineStr">
        <is>
          <t xml:space="preserve"> De criado/maria victoria / 0026057612 - var / 27260576122</t>
        </is>
      </c>
      <c r="F343" s="17" t="inlineStr">
        <is>
          <t>OTRO</t>
        </is>
      </c>
    </row>
    <row r="344">
      <c r="A344" s="26" t="n">
        <v>46097</v>
      </c>
      <c r="B344" s="17" t="inlineStr">
        <is>
          <t>Transferencia recibida</t>
        </is>
      </c>
      <c r="C344" s="17" t="n"/>
      <c r="D344" s="18" t="n">
        <v>19241</v>
      </c>
      <c r="E344" s="17" t="inlineStr">
        <is>
          <t xml:space="preserve"> De medizin s.a.s / - fac / 30716914816</t>
        </is>
      </c>
      <c r="F344" s="17" t="inlineStr">
        <is>
          <t>OTRO</t>
        </is>
      </c>
    </row>
    <row r="345">
      <c r="A345" s="26" t="n">
        <v>46097</v>
      </c>
      <c r="B345" s="17" t="inlineStr">
        <is>
          <t>Pago a proveedores recibido</t>
        </is>
      </c>
      <c r="C345" s="17" t="n"/>
      <c r="D345" s="18" t="n">
        <v>874702.13</v>
      </c>
      <c r="E345" s="17" t="inlineStr">
        <is>
          <t xml:space="preserve"> Jose fortunato levy 20103771367 03 0242972</t>
        </is>
      </c>
      <c r="F345" s="17" t="inlineStr">
        <is>
          <t>OTRO</t>
        </is>
      </c>
    </row>
    <row r="346">
      <c r="A346" s="26" t="n">
        <v>46097</v>
      </c>
      <c r="B346" s="17" t="inlineStr">
        <is>
          <t>Transferencia recibida</t>
        </is>
      </c>
      <c r="C346" s="17" t="n"/>
      <c r="D346" s="18" t="n">
        <v>10824.66</v>
      </c>
      <c r="E346" s="17" t="inlineStr">
        <is>
          <t xml:space="preserve"> De zoe berenice vinay gua / - var / 27468581030</t>
        </is>
      </c>
      <c r="F346" s="17" t="inlineStr">
        <is>
          <t>OTRO</t>
        </is>
      </c>
    </row>
    <row r="347">
      <c r="A347" s="26" t="n">
        <v>46097</v>
      </c>
      <c r="B347" s="17" t="inlineStr">
        <is>
          <t>Impuesto ley 25.413 credito 0,6%</t>
        </is>
      </c>
      <c r="C347" s="18" t="n">
        <v>19329.58</v>
      </c>
      <c r="D347" s="17" t="n"/>
      <c r="E347" s="17" t="inlineStr"/>
      <c r="F347" s="17" t="inlineStr">
        <is>
          <t>LEY25413_CREDITO</t>
        </is>
      </c>
    </row>
    <row r="348">
      <c r="A348" s="26" t="n">
        <v>46097</v>
      </c>
      <c r="B348" s="17" t="inlineStr">
        <is>
          <t>Impuesto ley 25.413 debito 0,6%</t>
        </is>
      </c>
      <c r="C348" s="18" t="n">
        <v>15331.92</v>
      </c>
      <c r="D348" s="17" t="n"/>
      <c r="E348" s="17" t="inlineStr"/>
      <c r="F348" s="17" t="inlineStr">
        <is>
          <t>LEY25413_DEBITO</t>
        </is>
      </c>
    </row>
    <row r="349">
      <c r="A349" s="26" t="n">
        <v>46097</v>
      </c>
      <c r="B349" s="17" t="inlineStr">
        <is>
          <t>Impuesto ley 25.413 credito 0,6%</t>
        </is>
      </c>
      <c r="C349" s="18" t="n">
        <v>8557.48</v>
      </c>
      <c r="D349" s="17" t="n"/>
      <c r="E349" s="17" t="inlineStr">
        <is>
          <t xml:space="preserve"> Cta orig: 195-032021/8 - base impo. usd 1.021,73</t>
        </is>
      </c>
      <c r="F349" s="17" t="inlineStr">
        <is>
          <t>LEY25413_CREDITO</t>
        </is>
      </c>
    </row>
    <row r="350">
      <c r="A350" s="26" t="n">
        <v>46097</v>
      </c>
      <c r="B350" s="17" t="inlineStr">
        <is>
          <t>Impuesto ley 25.413 debito 0,6%</t>
        </is>
      </c>
      <c r="C350" s="18" t="n">
        <v>27.96</v>
      </c>
      <c r="D350" s="17" t="n"/>
      <c r="E350" s="17" t="inlineStr">
        <is>
          <t xml:space="preserve"> Cta orig: 195-032021/8 - base impo. usd3,31</t>
        </is>
      </c>
      <c r="F350" s="17" t="inlineStr">
        <is>
          <t>LEY25413_DEBITO</t>
        </is>
      </c>
    </row>
    <row r="351">
      <c r="A351" s="26" t="n">
        <v>46097</v>
      </c>
      <c r="B351" s="17" t="inlineStr">
        <is>
          <t>Regimen de recaudacion sircreb n</t>
        </is>
      </c>
      <c r="C351" s="18" t="n">
        <v>38659.15</v>
      </c>
      <c r="D351" s="17" t="n"/>
      <c r="E351" s="17" t="inlineStr">
        <is>
          <t xml:space="preserve"> Resp:30626629942 / 1,20% sobre</t>
        </is>
      </c>
      <c r="F351" s="17" t="inlineStr">
        <is>
          <t>RET_SIRCREB</t>
        </is>
      </c>
    </row>
    <row r="352">
      <c r="A352" s="26" t="n">
        <v>46097</v>
      </c>
      <c r="B352" s="17" t="inlineStr">
        <is>
          <t>Adelanto iibb tuc letra h</t>
        </is>
      </c>
      <c r="C352" s="18" t="n">
        <v>2755.01</v>
      </c>
      <c r="D352" s="17" t="n"/>
      <c r="E352" s="17" t="inlineStr">
        <is>
          <t xml:space="preserve"> Resp:30626629942 / 0,12% sobre</t>
        </is>
      </c>
      <c r="F352" s="17" t="inlineStr">
        <is>
          <t>RET_IIBB_TUCUMAN</t>
        </is>
      </c>
    </row>
    <row r="353">
      <c r="A353" s="26" t="n">
        <v>46098</v>
      </c>
      <c r="B353" s="17" t="inlineStr">
        <is>
          <t>Pago comercios getnet nro.liq.</t>
        </is>
      </c>
      <c r="C353" s="17" t="n"/>
      <c r="D353" s="18" t="n">
        <v>17190.94</v>
      </c>
      <c r="E353" s="17" t="inlineStr">
        <is>
          <t xml:space="preserve"> 00002907/000000000008581</t>
        </is>
      </c>
      <c r="F353" s="17" t="inlineStr">
        <is>
          <t>OTRO</t>
        </is>
      </c>
    </row>
    <row r="354">
      <c r="A354" s="26" t="n">
        <v>46098</v>
      </c>
      <c r="B354" s="17" t="inlineStr">
        <is>
          <t>Pago comercios getnet nro.liq.</t>
        </is>
      </c>
      <c r="C354" s="17" t="n"/>
      <c r="D354" s="18" t="n">
        <v>20963.04</v>
      </c>
      <c r="E354" s="17" t="inlineStr">
        <is>
          <t xml:space="preserve"> 00007075/000000000008581</t>
        </is>
      </c>
      <c r="F354" s="17" t="inlineStr">
        <is>
          <t>OTRO</t>
        </is>
      </c>
    </row>
    <row r="355">
      <c r="A355" s="26" t="n">
        <v>46098</v>
      </c>
      <c r="B355" s="17" t="inlineStr">
        <is>
          <t>Transferencia recibida</t>
        </is>
      </c>
      <c r="C355" s="17" t="n"/>
      <c r="D355" s="18" t="n">
        <v>7000000</v>
      </c>
      <c r="E355" s="17" t="inlineStr">
        <is>
          <t xml:space="preserve"> De instrumental pasteur s / var mov inte - var / 30626629942</t>
        </is>
      </c>
      <c r="F355" s="17" t="inlineStr">
        <is>
          <t>OTRO</t>
        </is>
      </c>
    </row>
    <row r="356">
      <c r="A356" s="26" t="n">
        <v>46098</v>
      </c>
      <c r="B356" s="17" t="inlineStr">
        <is>
          <t>Transferencia recibida</t>
        </is>
      </c>
      <c r="C356" s="17" t="n"/>
      <c r="D356" s="18" t="n">
        <v>83336.3</v>
      </c>
      <c r="E356" s="17" t="inlineStr">
        <is>
          <t xml:space="preserve"> De rumi/maria valeria / 0022200665 - fac / 27222006657</t>
        </is>
      </c>
      <c r="F356" s="17" t="inlineStr">
        <is>
          <t>OTRO</t>
        </is>
      </c>
    </row>
    <row r="357">
      <c r="A357" s="26" t="n">
        <v>46098</v>
      </c>
      <c r="B357" s="17" t="inlineStr">
        <is>
          <t>Transferencia recibida</t>
        </is>
      </c>
      <c r="C357" s="17" t="n"/>
      <c r="D357" s="18" t="n">
        <v>32915.57</v>
      </c>
      <c r="E357" s="17" t="inlineStr">
        <is>
          <t xml:space="preserve"> De brayotta maria fernand / ref - var / 27383187228</t>
        </is>
      </c>
      <c r="F357" s="17" t="inlineStr">
        <is>
          <t>OTRO</t>
        </is>
      </c>
    </row>
    <row r="358">
      <c r="A358" s="26" t="n">
        <v>46098</v>
      </c>
      <c r="B358" s="17" t="inlineStr">
        <is>
          <t>Transferencia recibida</t>
        </is>
      </c>
      <c r="C358" s="17" t="n"/>
      <c r="D358" s="18" t="n">
        <v>773782.85</v>
      </c>
      <c r="E358" s="17" t="inlineStr">
        <is>
          <t xml:space="preserve"> De quiroga lohaiza,claudi / transf - var / 23306132849</t>
        </is>
      </c>
      <c r="F358" s="17" t="inlineStr">
        <is>
          <t>OTRO</t>
        </is>
      </c>
    </row>
    <row r="359">
      <c r="A359" s="26" t="n">
        <v>46098</v>
      </c>
      <c r="B359" s="17" t="inlineStr">
        <is>
          <t>Transferencia recibida</t>
        </is>
      </c>
      <c r="C359" s="17" t="n"/>
      <c r="D359" s="18" t="n">
        <v>28476.48</v>
      </c>
      <c r="E359" s="17" t="inlineStr">
        <is>
          <t xml:space="preserve"> De montiel,ruben dario / rmontiel - var / 20324244329</t>
        </is>
      </c>
      <c r="F359" s="17" t="inlineStr">
        <is>
          <t>OTRO</t>
        </is>
      </c>
    </row>
    <row r="360">
      <c r="A360" s="26" t="n">
        <v>46098</v>
      </c>
      <c r="B360" s="17" t="inlineStr">
        <is>
          <t>Transferencia realizada</t>
        </is>
      </c>
      <c r="C360" s="18" t="n">
        <v>25000</v>
      </c>
      <c r="D360" s="17" t="n"/>
      <c r="E360" s="17" t="inlineStr">
        <is>
          <t xml:space="preserve"> A acunaluis alberto / factura - fac / 20920057552</t>
        </is>
      </c>
      <c r="F360" s="17" t="inlineStr">
        <is>
          <t>OTRO</t>
        </is>
      </c>
    </row>
    <row r="361">
      <c r="A361" s="26" t="n">
        <v>46098</v>
      </c>
      <c r="B361" s="17" t="inlineStr">
        <is>
          <t>Transferencia realizada</t>
        </is>
      </c>
      <c r="C361" s="18" t="n">
        <v>113843.8</v>
      </c>
      <c r="D361" s="17" t="n"/>
      <c r="E361" s="17" t="inlineStr">
        <is>
          <t xml:space="preserve"> A licenciasonline s.a. / factura - fac / 30710362218</t>
        </is>
      </c>
      <c r="F361" s="17" t="inlineStr">
        <is>
          <t>OTRO</t>
        </is>
      </c>
    </row>
    <row r="362">
      <c r="A362" s="26" t="n">
        <v>46098</v>
      </c>
      <c r="B362" s="17" t="inlineStr">
        <is>
          <t>Transferencia realizada</t>
        </is>
      </c>
      <c r="C362" s="18" t="n">
        <v>70500</v>
      </c>
      <c r="D362" s="17" t="n"/>
      <c r="E362" s="17" t="inlineStr">
        <is>
          <t xml:space="preserve"> A espinosa diego laurean / factura - fac / 23235676389</t>
        </is>
      </c>
      <c r="F362" s="17" t="inlineStr">
        <is>
          <t>OTRO</t>
        </is>
      </c>
    </row>
    <row r="363">
      <c r="A363" s="26" t="n">
        <v>46098</v>
      </c>
      <c r="B363" s="17" t="inlineStr">
        <is>
          <t>Transferencia realizada</t>
        </is>
      </c>
      <c r="C363" s="18" t="n">
        <v>60376.45</v>
      </c>
      <c r="D363" s="17" t="n"/>
      <c r="E363" s="17" t="inlineStr">
        <is>
          <t xml:space="preserve"> A fisdel lionel y fisdel / factura - fac / 30698029648</t>
        </is>
      </c>
      <c r="F363" s="17" t="inlineStr">
        <is>
          <t>OTRO</t>
        </is>
      </c>
    </row>
    <row r="364">
      <c r="A364" s="26" t="n">
        <v>46098</v>
      </c>
      <c r="B364" s="17" t="inlineStr">
        <is>
          <t>Transferencia realizada</t>
        </is>
      </c>
      <c r="C364" s="18" t="n">
        <v>306702.27</v>
      </c>
      <c r="D364" s="17" t="n"/>
      <c r="E364" s="17" t="inlineStr">
        <is>
          <t xml:space="preserve"> A argontech srl / factura - fac / 30684968218</t>
        </is>
      </c>
      <c r="F364" s="17" t="inlineStr">
        <is>
          <t>OTRO</t>
        </is>
      </c>
    </row>
    <row r="365">
      <c r="A365" s="26" t="n">
        <v>46098</v>
      </c>
      <c r="B365" s="17" t="inlineStr">
        <is>
          <t>Debito transf. online banking emp</t>
        </is>
      </c>
      <c r="C365" s="18" t="n">
        <v>20269.8</v>
      </c>
      <c r="D365" s="17" t="n"/>
      <c r="E365" s="17" t="inlineStr">
        <is>
          <t xml:space="preserve"> A nancy noemi franco vill / varios - var / 27287732029</t>
        </is>
      </c>
      <c r="F365" s="17" t="inlineStr">
        <is>
          <t>OTRO</t>
        </is>
      </c>
    </row>
    <row r="366">
      <c r="A366" s="26" t="n">
        <v>46098</v>
      </c>
      <c r="B366" s="17" t="inlineStr">
        <is>
          <t>Transferencia recibida</t>
        </is>
      </c>
      <c r="C366" s="17" t="n"/>
      <c r="D366" s="18" t="n">
        <v>532223.95</v>
      </c>
      <c r="E366" s="17" t="inlineStr">
        <is>
          <t xml:space="preserve"> De inst salesiana inst pi / varios - var / 30610211638</t>
        </is>
      </c>
      <c r="F366" s="17" t="inlineStr">
        <is>
          <t>OTRO</t>
        </is>
      </c>
    </row>
    <row r="367">
      <c r="A367" s="26" t="n">
        <v>46098</v>
      </c>
      <c r="B367" s="17" t="inlineStr">
        <is>
          <t>Impuesto ley 25.413 debito 0,6%</t>
        </is>
      </c>
      <c r="C367" s="18" t="n">
        <v>3828.63</v>
      </c>
      <c r="D367" s="17" t="n"/>
      <c r="E367" s="17" t="inlineStr"/>
      <c r="F367" s="17" t="inlineStr">
        <is>
          <t>LEY25413_DEBITO</t>
        </is>
      </c>
    </row>
    <row r="368">
      <c r="A368" s="26" t="n">
        <v>46098</v>
      </c>
      <c r="B368" s="17" t="inlineStr">
        <is>
          <t>Impuesto ley 25.413 credito 0,6%</t>
        </is>
      </c>
      <c r="C368" s="18" t="n">
        <v>8933.34</v>
      </c>
      <c r="D368" s="17" t="n"/>
      <c r="E368" s="17" t="inlineStr"/>
      <c r="F368" s="17" t="inlineStr">
        <is>
          <t>LEY25413_CREDITO</t>
        </is>
      </c>
    </row>
    <row r="369">
      <c r="A369" s="26" t="n">
        <v>46098</v>
      </c>
      <c r="B369" s="17" t="inlineStr">
        <is>
          <t>Comision transf otros bcos canales</t>
        </is>
      </c>
      <c r="C369" s="18" t="n">
        <v>315</v>
      </c>
      <c r="D369" s="17" t="n"/>
      <c r="E369" s="17" t="inlineStr">
        <is>
          <t xml:space="preserve"> Comision transferencias</t>
        </is>
      </c>
      <c r="F369" s="17" t="inlineStr">
        <is>
          <t>COMISION</t>
        </is>
      </c>
    </row>
    <row r="370">
      <c r="A370" s="26" t="n">
        <v>46098</v>
      </c>
      <c r="B370" s="17" t="inlineStr">
        <is>
          <t>Iva 21% reg de transfisc ley27743</t>
        </is>
      </c>
      <c r="C370" s="18" t="n">
        <v>66.15000000000001</v>
      </c>
      <c r="D370" s="17" t="n"/>
      <c r="E370" s="17" t="inlineStr"/>
      <c r="F370" s="17" t="inlineStr">
        <is>
          <t>IVA</t>
        </is>
      </c>
    </row>
    <row r="371">
      <c r="A371" s="26" t="n">
        <v>46098</v>
      </c>
      <c r="B371" s="17" t="inlineStr">
        <is>
          <t>Comision transf otros bcos canales</t>
        </is>
      </c>
      <c r="C371" s="18" t="n">
        <v>720</v>
      </c>
      <c r="D371" s="17" t="n"/>
      <c r="E371" s="17" t="inlineStr">
        <is>
          <t xml:space="preserve"> Comision transferencias</t>
        </is>
      </c>
      <c r="F371" s="17" t="inlineStr">
        <is>
          <t>COMISION</t>
        </is>
      </c>
    </row>
    <row r="372">
      <c r="A372" s="26" t="n">
        <v>46098</v>
      </c>
      <c r="B372" s="17" t="inlineStr">
        <is>
          <t>Iva 21% reg de transfisc ley27743</t>
        </is>
      </c>
      <c r="C372" s="18" t="n">
        <v>151.2</v>
      </c>
      <c r="D372" s="17" t="n"/>
      <c r="E372" s="17" t="inlineStr"/>
      <c r="F372" s="17" t="inlineStr">
        <is>
          <t>IVA</t>
        </is>
      </c>
    </row>
    <row r="373">
      <c r="A373" s="26" t="n">
        <v>46098</v>
      </c>
      <c r="B373" s="17" t="inlineStr">
        <is>
          <t>Comision transf otros bcos canales</t>
        </is>
      </c>
      <c r="C373" s="18" t="n">
        <v>720</v>
      </c>
      <c r="D373" s="17" t="n"/>
      <c r="E373" s="17" t="inlineStr">
        <is>
          <t xml:space="preserve"> Comision transferencias</t>
        </is>
      </c>
      <c r="F373" s="17" t="inlineStr">
        <is>
          <t>COMISION</t>
        </is>
      </c>
    </row>
    <row r="374">
      <c r="A374" s="26" t="n">
        <v>46098</v>
      </c>
      <c r="B374" s="17" t="inlineStr">
        <is>
          <t>Iva 21% reg de transfisc ley27743</t>
        </is>
      </c>
      <c r="C374" s="18" t="n">
        <v>151.2</v>
      </c>
      <c r="D374" s="17" t="n"/>
      <c r="E374" s="17" t="inlineStr"/>
      <c r="F374" s="17" t="inlineStr">
        <is>
          <t>IVA</t>
        </is>
      </c>
    </row>
    <row r="375">
      <c r="A375" s="26" t="n">
        <v>46098</v>
      </c>
      <c r="B375" s="17" t="inlineStr">
        <is>
          <t>Comision transf otros bcos canales</t>
        </is>
      </c>
      <c r="C375" s="18" t="n">
        <v>720</v>
      </c>
      <c r="D375" s="17" t="n"/>
      <c r="E375" s="17" t="inlineStr">
        <is>
          <t xml:space="preserve"> Comision transferencias</t>
        </is>
      </c>
      <c r="F375" s="17" t="inlineStr">
        <is>
          <t>COMISION</t>
        </is>
      </c>
    </row>
    <row r="376">
      <c r="A376" s="26" t="n">
        <v>46098</v>
      </c>
      <c r="B376" s="17" t="inlineStr">
        <is>
          <t>Iva 21% reg de transfisc ley27743</t>
        </is>
      </c>
      <c r="C376" s="18" t="n">
        <v>151.2</v>
      </c>
      <c r="D376" s="17" t="n"/>
      <c r="E376" s="17" t="inlineStr"/>
      <c r="F376" s="17" t="inlineStr">
        <is>
          <t>IVA</t>
        </is>
      </c>
    </row>
    <row r="377">
      <c r="A377" s="26" t="n">
        <v>46098</v>
      </c>
      <c r="B377" s="17" t="inlineStr">
        <is>
          <t>Comision transf otros bcos canales</t>
        </is>
      </c>
      <c r="C377" s="18" t="n">
        <v>1485</v>
      </c>
      <c r="D377" s="17" t="n"/>
      <c r="E377" s="17" t="inlineStr">
        <is>
          <t xml:space="preserve"> Comision transferencias</t>
        </is>
      </c>
      <c r="F377" s="17" t="inlineStr">
        <is>
          <t>COMISION</t>
        </is>
      </c>
    </row>
    <row r="378">
      <c r="A378" s="26" t="n">
        <v>46098</v>
      </c>
      <c r="B378" s="17" t="inlineStr">
        <is>
          <t>Iva 21% reg de transfisc ley27743</t>
        </is>
      </c>
      <c r="C378" s="18" t="n">
        <v>311.85</v>
      </c>
      <c r="D378" s="17" t="n"/>
      <c r="E378" s="17" t="inlineStr"/>
      <c r="F378" s="17" t="inlineStr">
        <is>
          <t>IVA</t>
        </is>
      </c>
    </row>
    <row r="379">
      <c r="A379" s="26" t="n">
        <v>46098</v>
      </c>
      <c r="B379" s="17" t="inlineStr">
        <is>
          <t>Regimen de recaudacion sircreb n</t>
        </is>
      </c>
      <c r="C379" s="18" t="n">
        <v>17866.68</v>
      </c>
      <c r="D379" s="17" t="n"/>
      <c r="E379" s="17" t="inlineStr">
        <is>
          <t xml:space="preserve"> Resp:30626629942 / 1,20% sobre</t>
        </is>
      </c>
      <c r="F379" s="17" t="inlineStr">
        <is>
          <t>RET_SIRCREB</t>
        </is>
      </c>
    </row>
    <row r="380">
      <c r="A380" s="26" t="n">
        <v>46098</v>
      </c>
      <c r="B380" s="17" t="inlineStr">
        <is>
          <t>Adelanto iibb tuc letra h</t>
        </is>
      </c>
      <c r="C380" s="18" t="n">
        <v>1740.88</v>
      </c>
      <c r="D380" s="17" t="n"/>
      <c r="E380" s="17" t="inlineStr">
        <is>
          <t xml:space="preserve"> Resp:30626629942 / 0,12% sobre</t>
        </is>
      </c>
      <c r="F380" s="17" t="inlineStr">
        <is>
          <t>RET_IIBB_TUCUMAN</t>
        </is>
      </c>
    </row>
    <row r="381">
      <c r="A381" s="26" t="n">
        <v>46099</v>
      </c>
      <c r="B381" s="17" t="inlineStr">
        <is>
          <t>Deposito echeq otro banco 48hs</t>
        </is>
      </c>
      <c r="C381" s="17" t="n"/>
      <c r="D381" s="18" t="n">
        <v>184531.62</v>
      </c>
      <c r="E381" s="17" t="inlineStr"/>
      <c r="F381" s="17" t="inlineStr">
        <is>
          <t>OTRO</t>
        </is>
      </c>
    </row>
    <row r="382">
      <c r="A382" s="26" t="n">
        <v>46099</v>
      </c>
      <c r="B382" s="17" t="inlineStr">
        <is>
          <t>Deposito e-cheq 48hs presencia bsr</t>
        </is>
      </c>
      <c r="C382" s="17" t="n"/>
      <c r="D382" s="18" t="n">
        <v>5924707.63</v>
      </c>
      <c r="E382" s="17" t="inlineStr"/>
      <c r="F382" s="17" t="inlineStr">
        <is>
          <t>OTRO</t>
        </is>
      </c>
    </row>
    <row r="383">
      <c r="A383" s="26" t="n">
        <v>46099</v>
      </c>
      <c r="B383" s="17" t="inlineStr">
        <is>
          <t>Pago comercios getnet nro.liq.</t>
        </is>
      </c>
      <c r="C383" s="17" t="n"/>
      <c r="D383" s="18" t="n">
        <v>57973.91</v>
      </c>
      <c r="E383" s="17" t="inlineStr">
        <is>
          <t xml:space="preserve"> 00003606/000000000008581</t>
        </is>
      </c>
      <c r="F383" s="17" t="inlineStr">
        <is>
          <t>OTRO</t>
        </is>
      </c>
    </row>
    <row r="384">
      <c r="A384" s="26" t="n">
        <v>46099</v>
      </c>
      <c r="B384" s="17" t="inlineStr">
        <is>
          <t>Debito automatico</t>
        </is>
      </c>
      <c r="C384" s="18" t="n">
        <v>1607238.36</v>
      </c>
      <c r="D384" s="17" t="n"/>
      <c r="E384" s="17" t="inlineStr">
        <is>
          <t xml:space="preserve"> Finnegans sa -000030626629942</t>
        </is>
      </c>
      <c r="F384" s="17" t="inlineStr">
        <is>
          <t>DEB_AUTOMATICO</t>
        </is>
      </c>
    </row>
    <row r="385">
      <c r="A385" s="26" t="n">
        <v>46099</v>
      </c>
      <c r="B385" s="17" t="inlineStr">
        <is>
          <t>Comision compensacion cheques cfu</t>
        </is>
      </c>
      <c r="C385" s="18" t="n">
        <v>41472.96</v>
      </c>
      <c r="D385" s="17" t="n"/>
      <c r="E385" s="17" t="inlineStr"/>
      <c r="F385" s="17" t="inlineStr">
        <is>
          <t>COMISION</t>
        </is>
      </c>
    </row>
    <row r="386">
      <c r="A386" s="26" t="n">
        <v>46099</v>
      </c>
      <c r="B386" s="17" t="inlineStr">
        <is>
          <t>Percepcion ingresos brutos caba</t>
        </is>
      </c>
      <c r="C386" s="18" t="n">
        <v>2073.65</v>
      </c>
      <c r="D386" s="17" t="n"/>
      <c r="E386" s="17" t="inlineStr"/>
      <c r="F386" s="17" t="inlineStr">
        <is>
          <t>PERC_IIBB</t>
        </is>
      </c>
    </row>
    <row r="387">
      <c r="A387" s="26" t="n">
        <v>46099</v>
      </c>
      <c r="B387" s="17" t="inlineStr">
        <is>
          <t>Iva 21% reg de transfisc ley27743</t>
        </is>
      </c>
      <c r="C387" s="18" t="n">
        <v>8709.32</v>
      </c>
      <c r="D387" s="17" t="n"/>
      <c r="E387" s="17" t="inlineStr"/>
      <c r="F387" s="17" t="inlineStr">
        <is>
          <t>IVA</t>
        </is>
      </c>
    </row>
    <row r="388">
      <c r="A388" s="26" t="n">
        <v>46099</v>
      </c>
      <c r="B388" s="17" t="inlineStr">
        <is>
          <t>Iva percepcion rg 2408</t>
        </is>
      </c>
      <c r="C388" s="18" t="n">
        <v>1244.19</v>
      </c>
      <c r="D388" s="17" t="n"/>
      <c r="E388" s="17" t="inlineStr"/>
      <c r="F388" s="17" t="inlineStr">
        <is>
          <t>IVA</t>
        </is>
      </c>
    </row>
    <row r="389">
      <c r="A389" s="26" t="n">
        <v>46099</v>
      </c>
      <c r="B389" s="17" t="inlineStr">
        <is>
          <t>Pago comercios getnet nro.liq.</t>
        </is>
      </c>
      <c r="C389" s="17" t="n"/>
      <c r="D389" s="18" t="n">
        <v>265525.07</v>
      </c>
      <c r="E389" s="17" t="inlineStr">
        <is>
          <t xml:space="preserve"> 00005095/000000000008581</t>
        </is>
      </c>
      <c r="F389" s="17" t="inlineStr">
        <is>
          <t>OTRO</t>
        </is>
      </c>
    </row>
    <row r="390">
      <c r="A390" s="26" t="n">
        <v>46099</v>
      </c>
      <c r="B390" s="17" t="inlineStr">
        <is>
          <t>Transferencia recibida</t>
        </is>
      </c>
      <c r="C390" s="17" t="n"/>
      <c r="D390" s="18" t="n">
        <v>345543</v>
      </c>
      <c r="E390" s="17" t="inlineStr">
        <is>
          <t xml:space="preserve"> De bellandi/graciela c / pasteur - fac / 27126307050</t>
        </is>
      </c>
      <c r="F390" s="17" t="inlineStr">
        <is>
          <t>OTRO</t>
        </is>
      </c>
    </row>
    <row r="391">
      <c r="A391" s="26" t="n">
        <v>46099</v>
      </c>
      <c r="B391" s="17" t="inlineStr">
        <is>
          <t>Pago a proveedores recibido</t>
        </is>
      </c>
      <c r="C391" s="17" t="n"/>
      <c r="D391" s="18" t="n">
        <v>85708.52</v>
      </c>
      <c r="E391" s="17" t="inlineStr">
        <is>
          <t xml:space="preserve"> Universidad gral. san martin 30662473916 03 1104668</t>
        </is>
      </c>
      <c r="F391" s="17" t="inlineStr">
        <is>
          <t>OTRO</t>
        </is>
      </c>
    </row>
    <row r="392">
      <c r="A392" s="26" t="n">
        <v>46099</v>
      </c>
      <c r="B392" s="17" t="inlineStr">
        <is>
          <t>Credito transf online banking emp</t>
        </is>
      </c>
      <c r="C392" s="17" t="n"/>
      <c r="D392" s="18" t="n">
        <v>375371.2</v>
      </c>
      <c r="E392" s="17" t="inlineStr">
        <is>
          <t xml:space="preserve"> De chemit argentina srl / varios - var / 30707509356</t>
        </is>
      </c>
      <c r="F392" s="17" t="inlineStr">
        <is>
          <t>OTRO</t>
        </is>
      </c>
    </row>
    <row r="393">
      <c r="A393" s="26" t="n">
        <v>46099</v>
      </c>
      <c r="B393" s="17" t="inlineStr">
        <is>
          <t>Suscripcion fondos comunes invers</t>
        </is>
      </c>
      <c r="C393" s="18" t="n">
        <v>11000000</v>
      </c>
      <c r="D393" s="17" t="n"/>
      <c r="E393" s="17" t="inlineStr"/>
      <c r="F393" s="17" t="inlineStr">
        <is>
          <t>OTRO</t>
        </is>
      </c>
    </row>
    <row r="394">
      <c r="A394" s="26" t="n">
        <v>46099</v>
      </c>
      <c r="B394" s="17" t="inlineStr">
        <is>
          <t>Transferencia recibida</t>
        </is>
      </c>
      <c r="C394" s="17" t="n"/>
      <c r="D394" s="18" t="n">
        <v>393794.5</v>
      </c>
      <c r="E394" s="17" t="inlineStr">
        <is>
          <t xml:space="preserve"> De lab s jose diag y trat / - hon / 30693212347</t>
        </is>
      </c>
      <c r="F394" s="17" t="inlineStr">
        <is>
          <t>OTRO</t>
        </is>
      </c>
    </row>
    <row r="395">
      <c r="A395" s="26" t="n">
        <v>46099</v>
      </c>
      <c r="B395" s="17" t="inlineStr">
        <is>
          <t>Transferencia realizada</t>
        </is>
      </c>
      <c r="C395" s="18" t="n">
        <v>450000</v>
      </c>
      <c r="D395" s="17" t="n"/>
      <c r="E395" s="17" t="inlineStr">
        <is>
          <t xml:space="preserve"> A sociedad argentina / factura - fac / 30654231326</t>
        </is>
      </c>
      <c r="F395" s="17" t="inlineStr">
        <is>
          <t>OTRO</t>
        </is>
      </c>
    </row>
    <row r="396">
      <c r="A396" s="26" t="n">
        <v>46099</v>
      </c>
      <c r="B396" s="17" t="inlineStr">
        <is>
          <t>Pago a proveedores recibido</t>
        </is>
      </c>
      <c r="C396" s="17" t="n"/>
      <c r="D396" s="18" t="n">
        <v>1252079.22</v>
      </c>
      <c r="E396" s="17" t="inlineStr">
        <is>
          <t xml:space="preserve"> Alimentos magro 30707731601 t10 00001044912</t>
        </is>
      </c>
      <c r="F396" s="17" t="inlineStr">
        <is>
          <t>OTRO</t>
        </is>
      </c>
    </row>
    <row r="397">
      <c r="A397" s="26" t="n">
        <v>46099</v>
      </c>
      <c r="B397" s="17" t="inlineStr">
        <is>
          <t>Impuesto ley 25.413 debito 0,6%</t>
        </is>
      </c>
      <c r="C397" s="18" t="n">
        <v>12810.85</v>
      </c>
      <c r="D397" s="17" t="n"/>
      <c r="E397" s="17" t="inlineStr"/>
      <c r="F397" s="17" t="inlineStr">
        <is>
          <t>LEY25413_DEBITO</t>
        </is>
      </c>
    </row>
    <row r="398">
      <c r="A398" s="26" t="n">
        <v>46099</v>
      </c>
      <c r="B398" s="17" t="inlineStr">
        <is>
          <t>Impuesto ley 25.413 credito 0,6%</t>
        </is>
      </c>
      <c r="C398" s="18" t="n">
        <v>53311.42</v>
      </c>
      <c r="D398" s="17" t="n"/>
      <c r="E398" s="17" t="inlineStr"/>
      <c r="F398" s="17" t="inlineStr">
        <is>
          <t>LEY25413_CREDITO</t>
        </is>
      </c>
    </row>
    <row r="399">
      <c r="A399" s="26" t="n">
        <v>46099</v>
      </c>
      <c r="B399" s="17" t="inlineStr">
        <is>
          <t>Comision transf otros bcos canales</t>
        </is>
      </c>
      <c r="C399" s="18" t="n">
        <v>1485</v>
      </c>
      <c r="D399" s="17" t="n"/>
      <c r="E399" s="17" t="inlineStr">
        <is>
          <t xml:space="preserve"> Comision transferencias</t>
        </is>
      </c>
      <c r="F399" s="17" t="inlineStr">
        <is>
          <t>COMISION</t>
        </is>
      </c>
    </row>
    <row r="400">
      <c r="A400" s="26" t="n">
        <v>46099</v>
      </c>
      <c r="B400" s="17" t="inlineStr">
        <is>
          <t>Iva 21% reg de transfisc ley27743</t>
        </is>
      </c>
      <c r="C400" s="18" t="n">
        <v>311.85</v>
      </c>
      <c r="D400" s="17" t="n"/>
      <c r="E400" s="17" t="inlineStr"/>
      <c r="F400" s="17" t="inlineStr">
        <is>
          <t>IVA</t>
        </is>
      </c>
    </row>
    <row r="401">
      <c r="A401" s="26" t="n">
        <v>46099</v>
      </c>
      <c r="B401" s="17" t="inlineStr">
        <is>
          <t>Adelanto iibb tuc letra h</t>
        </is>
      </c>
      <c r="C401" s="18" t="n">
        <v>9823.639999999999</v>
      </c>
      <c r="D401" s="17" t="n"/>
      <c r="E401" s="17" t="inlineStr">
        <is>
          <t xml:space="preserve"> Resp:30626629942 / 0,12% sobre</t>
        </is>
      </c>
      <c r="F401" s="17" t="inlineStr">
        <is>
          <t>RET_IIBB_TUCUMAN</t>
        </is>
      </c>
    </row>
    <row r="402">
      <c r="A402" s="26" t="n">
        <v>46099</v>
      </c>
      <c r="B402" s="17" t="inlineStr">
        <is>
          <t>Regimen de recaudacion sircreb n</t>
        </is>
      </c>
      <c r="C402" s="18" t="n">
        <v>106622.81</v>
      </c>
      <c r="D402" s="17" t="n"/>
      <c r="E402" s="17" t="inlineStr">
        <is>
          <t xml:space="preserve"> Resp:30626629942 / 1,20% sobre</t>
        </is>
      </c>
      <c r="F402" s="17" t="inlineStr">
        <is>
          <t>RET_SIRCREB</t>
        </is>
      </c>
    </row>
    <row r="403">
      <c r="A403" s="26" t="n">
        <v>46100</v>
      </c>
      <c r="B403" s="17" t="inlineStr">
        <is>
          <t>Valor al cobro comp elect prop loc</t>
        </is>
      </c>
      <c r="C403" s="17" t="n"/>
      <c r="D403" s="18" t="n">
        <v>120730.65</v>
      </c>
      <c r="E403" s="17" t="inlineStr"/>
      <c r="F403" s="17" t="inlineStr">
        <is>
          <t>OTRO</t>
        </is>
      </c>
    </row>
    <row r="404">
      <c r="A404" s="26" t="n">
        <v>46100</v>
      </c>
      <c r="B404" s="17" t="inlineStr">
        <is>
          <t>Comision compensacion cheques cfu</t>
        </is>
      </c>
      <c r="C404" s="18" t="n">
        <v>2835</v>
      </c>
      <c r="D404" s="17" t="n"/>
      <c r="E404" s="17" t="inlineStr"/>
      <c r="F404" s="17" t="inlineStr">
        <is>
          <t>COMISION</t>
        </is>
      </c>
    </row>
    <row r="405">
      <c r="A405" s="26" t="n">
        <v>46100</v>
      </c>
      <c r="B405" s="17" t="inlineStr">
        <is>
          <t>Iva 21% reg de transfisc ley27743</t>
        </is>
      </c>
      <c r="C405" s="18" t="n">
        <v>595.35</v>
      </c>
      <c r="D405" s="17" t="n"/>
      <c r="E405" s="17" t="inlineStr"/>
      <c r="F405" s="17" t="inlineStr">
        <is>
          <t>IVA</t>
        </is>
      </c>
    </row>
    <row r="406">
      <c r="A406" s="26" t="n">
        <v>46100</v>
      </c>
      <c r="B406" s="17" t="inlineStr">
        <is>
          <t>Iva percepcion rg 2408</t>
        </is>
      </c>
      <c r="C406" s="18" t="n">
        <v>85.05</v>
      </c>
      <c r="D406" s="17" t="n"/>
      <c r="E406" s="17" t="inlineStr"/>
      <c r="F406" s="17" t="inlineStr">
        <is>
          <t>IVA</t>
        </is>
      </c>
    </row>
    <row r="407">
      <c r="A407" s="26" t="n">
        <v>46100</v>
      </c>
      <c r="B407" s="17" t="inlineStr">
        <is>
          <t>Pago comercios getnet nro.liq.</t>
        </is>
      </c>
      <c r="C407" s="17" t="n"/>
      <c r="D407" s="18" t="n">
        <v>167171.23</v>
      </c>
      <c r="E407" s="17" t="inlineStr">
        <is>
          <t xml:space="preserve"> 00005380/000000000008581</t>
        </is>
      </c>
      <c r="F407" s="17" t="inlineStr">
        <is>
          <t>OTRO</t>
        </is>
      </c>
    </row>
    <row r="408">
      <c r="A408" s="26" t="n">
        <v>46100</v>
      </c>
      <c r="B408" s="17" t="inlineStr">
        <is>
          <t>Transferencia realizada</t>
        </is>
      </c>
      <c r="C408" s="18" t="n">
        <v>500000</v>
      </c>
      <c r="D408" s="17" t="n"/>
      <c r="E408" s="17" t="inlineStr">
        <is>
          <t xml:space="preserve"> A lipower s. a. / varios - var / 30717439186</t>
        </is>
      </c>
      <c r="F408" s="17" t="inlineStr">
        <is>
          <t>OTRO</t>
        </is>
      </c>
    </row>
    <row r="409">
      <c r="A409" s="26" t="n">
        <v>46100</v>
      </c>
      <c r="B409" s="17" t="inlineStr">
        <is>
          <t>Transferencia realizada</t>
        </is>
      </c>
      <c r="C409" s="18" t="n">
        <v>104674.24</v>
      </c>
      <c r="D409" s="17" t="n"/>
      <c r="E409" s="17" t="inlineStr">
        <is>
          <t xml:space="preserve"> A andreani logistica sa / factura - fac / 30698011145</t>
        </is>
      </c>
      <c r="F409" s="17" t="inlineStr">
        <is>
          <t>OTRO</t>
        </is>
      </c>
    </row>
    <row r="410">
      <c r="A410" s="26" t="n">
        <v>46100</v>
      </c>
      <c r="B410" s="17" t="inlineStr">
        <is>
          <t>Transferencia realizada</t>
        </is>
      </c>
      <c r="C410" s="18" t="n">
        <v>195570</v>
      </c>
      <c r="D410" s="17" t="n"/>
      <c r="E410" s="17" t="inlineStr">
        <is>
          <t xml:space="preserve"> A pablodsky felipe bernar / factura - fac / 20044465885</t>
        </is>
      </c>
      <c r="F410" s="17" t="inlineStr">
        <is>
          <t>OTRO</t>
        </is>
      </c>
    </row>
    <row r="411">
      <c r="A411" s="26" t="n">
        <v>46100</v>
      </c>
      <c r="B411" s="17" t="inlineStr">
        <is>
          <t>Transferencia realizada</t>
        </is>
      </c>
      <c r="C411" s="18" t="n">
        <v>181720</v>
      </c>
      <c r="D411" s="17" t="n"/>
      <c r="E411" s="17" t="inlineStr">
        <is>
          <t xml:space="preserve"> A estudio fernadez lacort / factura - fac / 30717325563</t>
        </is>
      </c>
      <c r="F411" s="17" t="inlineStr">
        <is>
          <t>OTRO</t>
        </is>
      </c>
    </row>
    <row r="412">
      <c r="A412" s="26" t="n">
        <v>46100</v>
      </c>
      <c r="B412" s="17" t="inlineStr">
        <is>
          <t>Pago de servicios</t>
        </is>
      </c>
      <c r="C412" s="18" t="n">
        <v>3623449.92</v>
      </c>
      <c r="D412" s="17" t="n"/>
      <c r="E412" s="17" t="inlineStr">
        <is>
          <t xml:space="preserve"> Imp.afip: 3062662994213530522 - tarj nro. 6869</t>
        </is>
      </c>
      <c r="F412" s="17" t="inlineStr">
        <is>
          <t>OTRO</t>
        </is>
      </c>
    </row>
    <row r="413">
      <c r="A413" s="26" t="n">
        <v>46100</v>
      </c>
      <c r="B413" s="17" t="inlineStr">
        <is>
          <t>Pago a proveedores recibido</t>
        </is>
      </c>
      <c r="C413" s="17" t="n"/>
      <c r="D413" s="18" t="n">
        <v>64102.9</v>
      </c>
      <c r="E413" s="17" t="inlineStr">
        <is>
          <t xml:space="preserve"> Fundacion del inst biologia m 30710494459 03 0213874</t>
        </is>
      </c>
      <c r="F413" s="17" t="inlineStr">
        <is>
          <t>OTRO</t>
        </is>
      </c>
    </row>
    <row r="414">
      <c r="A414" s="26" t="n">
        <v>46100</v>
      </c>
      <c r="B414" s="17" t="inlineStr">
        <is>
          <t>Transferencia ctas mobile banking</t>
        </is>
      </c>
      <c r="C414" s="17" t="n"/>
      <c r="D414" s="18" t="n">
        <v>10794.93</v>
      </c>
      <c r="E414" s="17" t="inlineStr">
        <is>
          <t xml:space="preserve"> De diana carolina blostei / varios - var / 27262157224</t>
        </is>
      </c>
      <c r="F414" s="17" t="inlineStr">
        <is>
          <t>OTRO</t>
        </is>
      </c>
    </row>
    <row r="415">
      <c r="A415" s="26" t="n">
        <v>46100</v>
      </c>
      <c r="B415" s="17" t="inlineStr">
        <is>
          <t>Transf recibida cvu dif titular</t>
        </is>
      </c>
      <c r="C415" s="17" t="n"/>
      <c r="D415" s="18" t="n">
        <v>302007</v>
      </c>
      <c r="E415" s="17" t="inlineStr">
        <is>
          <t xml:space="preserve"> De lacfarm srl / mercado pago /30709327247</t>
        </is>
      </c>
      <c r="F415" s="17" t="inlineStr">
        <is>
          <t>OTRO</t>
        </is>
      </c>
    </row>
    <row r="416">
      <c r="A416" s="26" t="n">
        <v>46100</v>
      </c>
      <c r="B416" s="17" t="inlineStr">
        <is>
          <t>Pago a proveedores recibido</t>
        </is>
      </c>
      <c r="C416" s="17" t="n"/>
      <c r="D416" s="18" t="n">
        <v>4261383.52</v>
      </c>
      <c r="E416" s="17" t="inlineStr">
        <is>
          <t xml:space="preserve"> Levy 20103771367 03 0294545</t>
        </is>
      </c>
      <c r="F416" s="17" t="inlineStr">
        <is>
          <t>OTRO</t>
        </is>
      </c>
    </row>
    <row r="417">
      <c r="A417" s="26" t="n">
        <v>46100</v>
      </c>
      <c r="B417" s="17" t="inlineStr">
        <is>
          <t>Transferencia pagos a terceros</t>
        </is>
      </c>
      <c r="C417" s="17" t="n"/>
      <c r="D417" s="18" t="n">
        <v>36568.52</v>
      </c>
      <c r="E417" s="17" t="inlineStr">
        <is>
          <t xml:space="preserve"> Universidad nacional de quilm 30642137251 63 3405108</t>
        </is>
      </c>
      <c r="F417" s="17" t="inlineStr">
        <is>
          <t>OTRO</t>
        </is>
      </c>
    </row>
    <row r="418">
      <c r="A418" s="26" t="n">
        <v>46100</v>
      </c>
      <c r="B418" s="17" t="inlineStr">
        <is>
          <t>Suscripcion fondos comunes invers</t>
        </is>
      </c>
      <c r="C418" s="18" t="n">
        <v>8000000</v>
      </c>
      <c r="D418" s="17" t="n"/>
      <c r="E418" s="17" t="inlineStr"/>
      <c r="F418" s="17" t="inlineStr">
        <is>
          <t>OTRO</t>
        </is>
      </c>
    </row>
    <row r="419">
      <c r="A419" s="26" t="n">
        <v>46100</v>
      </c>
      <c r="B419" s="17" t="inlineStr">
        <is>
          <t>Impuesto ley 25.413 debito 0,6%</t>
        </is>
      </c>
      <c r="C419" s="18" t="n">
        <v>28363.04</v>
      </c>
      <c r="D419" s="17" t="n"/>
      <c r="E419" s="17" t="inlineStr"/>
      <c r="F419" s="17" t="inlineStr">
        <is>
          <t>LEY25413_DEBITO</t>
        </is>
      </c>
    </row>
    <row r="420">
      <c r="A420" s="26" t="n">
        <v>46100</v>
      </c>
      <c r="B420" s="17" t="inlineStr">
        <is>
          <t>Impuesto ley 25.413 credito 0,6%</t>
        </is>
      </c>
      <c r="C420" s="18" t="n">
        <v>29776.55</v>
      </c>
      <c r="D420" s="17" t="n"/>
      <c r="E420" s="17" t="inlineStr"/>
      <c r="F420" s="17" t="inlineStr">
        <is>
          <t>LEY25413_CREDITO</t>
        </is>
      </c>
    </row>
    <row r="421">
      <c r="A421" s="26" t="n">
        <v>46100</v>
      </c>
      <c r="B421" s="17" t="inlineStr">
        <is>
          <t>Comision transf otros bcos canales</t>
        </is>
      </c>
      <c r="C421" s="18" t="n">
        <v>720</v>
      </c>
      <c r="D421" s="17" t="n"/>
      <c r="E421" s="17" t="inlineStr">
        <is>
          <t xml:space="preserve"> Comision transferencias</t>
        </is>
      </c>
      <c r="F421" s="17" t="inlineStr">
        <is>
          <t>COMISION</t>
        </is>
      </c>
    </row>
    <row r="422">
      <c r="A422" s="26" t="n">
        <v>46100</v>
      </c>
      <c r="B422" s="17" t="inlineStr">
        <is>
          <t>Iva 21% reg de transfisc ley27743</t>
        </is>
      </c>
      <c r="C422" s="18" t="n">
        <v>151.2</v>
      </c>
      <c r="D422" s="17" t="n"/>
      <c r="E422" s="17" t="inlineStr"/>
      <c r="F422" s="17" t="inlineStr">
        <is>
          <t>IVA</t>
        </is>
      </c>
    </row>
    <row r="423">
      <c r="A423" s="26" t="n">
        <v>46100</v>
      </c>
      <c r="B423" s="17" t="inlineStr">
        <is>
          <t>Comision transf otros bcos canales</t>
        </is>
      </c>
      <c r="C423" s="18" t="n">
        <v>720</v>
      </c>
      <c r="D423" s="17" t="n"/>
      <c r="E423" s="17" t="inlineStr">
        <is>
          <t xml:space="preserve"> Comision transferencias</t>
        </is>
      </c>
      <c r="F423" s="17" t="inlineStr">
        <is>
          <t>COMISION</t>
        </is>
      </c>
    </row>
    <row r="424">
      <c r="A424" s="26" t="n">
        <v>46100</v>
      </c>
      <c r="B424" s="17" t="inlineStr">
        <is>
          <t>Iva 21% reg de transfisc ley27743</t>
        </is>
      </c>
      <c r="C424" s="18" t="n">
        <v>151.2</v>
      </c>
      <c r="D424" s="17" t="n"/>
      <c r="E424" s="17" t="inlineStr"/>
      <c r="F424" s="17" t="inlineStr">
        <is>
          <t>IVA</t>
        </is>
      </c>
    </row>
    <row r="425">
      <c r="A425" s="26" t="n">
        <v>46100</v>
      </c>
      <c r="B425" s="17" t="inlineStr">
        <is>
          <t>Comision transf otros bcos canales</t>
        </is>
      </c>
      <c r="C425" s="18" t="n">
        <v>720</v>
      </c>
      <c r="D425" s="17" t="n"/>
      <c r="E425" s="17" t="inlineStr">
        <is>
          <t xml:space="preserve"> Comision transferencias</t>
        </is>
      </c>
      <c r="F425" s="17" t="inlineStr">
        <is>
          <t>COMISION</t>
        </is>
      </c>
    </row>
    <row r="426">
      <c r="A426" s="26" t="n">
        <v>46100</v>
      </c>
      <c r="B426" s="17" t="inlineStr">
        <is>
          <t>Iva 21% reg de transfisc ley27743</t>
        </is>
      </c>
      <c r="C426" s="18" t="n">
        <v>151.2</v>
      </c>
      <c r="D426" s="17" t="n"/>
      <c r="E426" s="17" t="inlineStr"/>
      <c r="F426" s="17" t="inlineStr">
        <is>
          <t>IVA</t>
        </is>
      </c>
    </row>
    <row r="427">
      <c r="A427" s="26" t="n">
        <v>46100</v>
      </c>
      <c r="B427" s="17" t="inlineStr">
        <is>
          <t>Comision transf otros bcos canales</t>
        </is>
      </c>
      <c r="C427" s="18" t="n">
        <v>1485</v>
      </c>
      <c r="D427" s="17" t="n"/>
      <c r="E427" s="17" t="inlineStr">
        <is>
          <t xml:space="preserve"> Comision transferencias</t>
        </is>
      </c>
      <c r="F427" s="17" t="inlineStr">
        <is>
          <t>COMISION</t>
        </is>
      </c>
    </row>
    <row r="428">
      <c r="A428" s="26" t="n">
        <v>46100</v>
      </c>
      <c r="B428" s="17" t="inlineStr">
        <is>
          <t>Iva 21% reg de transfisc ley27743</t>
        </is>
      </c>
      <c r="C428" s="18" t="n">
        <v>311.85</v>
      </c>
      <c r="D428" s="17" t="n"/>
      <c r="E428" s="17" t="inlineStr"/>
      <c r="F428" s="17" t="inlineStr">
        <is>
          <t>IVA</t>
        </is>
      </c>
    </row>
    <row r="429">
      <c r="A429" s="26" t="n">
        <v>46100</v>
      </c>
      <c r="B429" s="17" t="inlineStr">
        <is>
          <t>Adelanto iibb tuc letra h</t>
        </is>
      </c>
      <c r="C429" s="18" t="n">
        <v>5754.7</v>
      </c>
      <c r="D429" s="17" t="n"/>
      <c r="E429" s="17" t="inlineStr">
        <is>
          <t xml:space="preserve"> Resp:30626629942 / 0,12% sobre</t>
        </is>
      </c>
      <c r="F429" s="17" t="inlineStr">
        <is>
          <t>RET_IIBB_TUCUMAN</t>
        </is>
      </c>
    </row>
    <row r="430">
      <c r="A430" s="26" t="n">
        <v>46100</v>
      </c>
      <c r="B430" s="17" t="inlineStr">
        <is>
          <t>Regimen de recaudacion sircreb n</t>
        </is>
      </c>
      <c r="C430" s="18" t="n">
        <v>59553.09</v>
      </c>
      <c r="D430" s="17" t="n"/>
      <c r="E430" s="17" t="inlineStr">
        <is>
          <t xml:space="preserve"> Resp:30626629942 / 1,20% sobre</t>
        </is>
      </c>
      <c r="F430" s="17" t="inlineStr">
        <is>
          <t>RET_SIRCREB</t>
        </is>
      </c>
    </row>
    <row r="431">
      <c r="A431" s="26" t="n">
        <v>46101</v>
      </c>
      <c r="B431" s="17" t="inlineStr">
        <is>
          <t>Deposito e-cheq 48hs presencia bsr</t>
        </is>
      </c>
      <c r="C431" s="17" t="n"/>
      <c r="D431" s="18" t="n">
        <v>292236</v>
      </c>
      <c r="E431" s="17" t="inlineStr"/>
      <c r="F431" s="17" t="inlineStr">
        <is>
          <t>OTRO</t>
        </is>
      </c>
    </row>
    <row r="432">
      <c r="A432" s="26" t="n">
        <v>46101</v>
      </c>
      <c r="B432" s="17" t="inlineStr">
        <is>
          <t>Pago comercios getnet nro.liq.</t>
        </is>
      </c>
      <c r="C432" s="17" t="n"/>
      <c r="D432" s="18" t="n">
        <v>163099.23</v>
      </c>
      <c r="E432" s="17" t="inlineStr">
        <is>
          <t xml:space="preserve"> 00003812/000000000008581</t>
        </is>
      </c>
      <c r="F432" s="17" t="inlineStr">
        <is>
          <t>OTRO</t>
        </is>
      </c>
    </row>
    <row r="433">
      <c r="A433" s="26" t="n">
        <v>46101</v>
      </c>
      <c r="B433" s="17" t="inlineStr">
        <is>
          <t>Debito automatico</t>
        </is>
      </c>
      <c r="C433" s="18" t="n">
        <v>851420.4</v>
      </c>
      <c r="D433" s="17" t="n"/>
      <c r="E433" s="17" t="inlineStr">
        <is>
          <t xml:space="preserve"> Barbuss risk seg-0000001818005143900001</t>
        </is>
      </c>
      <c r="F433" s="17" t="inlineStr">
        <is>
          <t>DEB_AUTOMATICO</t>
        </is>
      </c>
    </row>
    <row r="434">
      <c r="A434" s="26" t="n">
        <v>46101</v>
      </c>
      <c r="B434" s="17" t="inlineStr">
        <is>
          <t>Debito automatico</t>
        </is>
      </c>
      <c r="C434" s="18" t="n">
        <v>538393.3</v>
      </c>
      <c r="D434" s="17" t="n"/>
      <c r="E434" s="17" t="inlineStr">
        <is>
          <t xml:space="preserve"> Edesur sa -0003872953</t>
        </is>
      </c>
      <c r="F434" s="17" t="inlineStr">
        <is>
          <t>DEB_AUTOMATICO</t>
        </is>
      </c>
    </row>
    <row r="435">
      <c r="A435" s="26" t="n">
        <v>46101</v>
      </c>
      <c r="B435" s="17" t="inlineStr">
        <is>
          <t>Comision compensacion cheques cfu</t>
        </is>
      </c>
      <c r="C435" s="18" t="n">
        <v>2835</v>
      </c>
      <c r="D435" s="17" t="n"/>
      <c r="E435" s="17" t="inlineStr"/>
      <c r="F435" s="17" t="inlineStr">
        <is>
          <t>COMISION</t>
        </is>
      </c>
    </row>
    <row r="436">
      <c r="A436" s="26" t="n">
        <v>46101</v>
      </c>
      <c r="B436" s="17" t="inlineStr">
        <is>
          <t>Iva 21% reg de transfisc ley27743</t>
        </is>
      </c>
      <c r="C436" s="18" t="n">
        <v>595.35</v>
      </c>
      <c r="D436" s="17" t="n"/>
      <c r="E436" s="17" t="inlineStr"/>
      <c r="F436" s="17" t="inlineStr">
        <is>
          <t>IVA</t>
        </is>
      </c>
    </row>
    <row r="437">
      <c r="A437" s="26" t="n">
        <v>46101</v>
      </c>
      <c r="B437" s="17" t="inlineStr">
        <is>
          <t>Iva percepcion rg 2408</t>
        </is>
      </c>
      <c r="C437" s="18" t="n">
        <v>85.05</v>
      </c>
      <c r="D437" s="17" t="n"/>
      <c r="E437" s="17" t="inlineStr"/>
      <c r="F437" s="17" t="inlineStr">
        <is>
          <t>IVA</t>
        </is>
      </c>
    </row>
    <row r="438">
      <c r="A438" s="26" t="n">
        <v>46101</v>
      </c>
      <c r="B438" s="17" t="inlineStr">
        <is>
          <t>Transferencia recibida</t>
        </is>
      </c>
      <c r="C438" s="17" t="n"/>
      <c r="D438" s="18" t="n">
        <v>717.75</v>
      </c>
      <c r="E438" s="17" t="inlineStr">
        <is>
          <t xml:space="preserve"> De lacfarm srl / - var / 30709327247</t>
        </is>
      </c>
      <c r="F438" s="17" t="inlineStr">
        <is>
          <t>OTRO</t>
        </is>
      </c>
    </row>
    <row r="439">
      <c r="A439" s="26" t="n">
        <v>46101</v>
      </c>
      <c r="B439" s="17" t="inlineStr">
        <is>
          <t>Pago comercios getnet nro.liq.</t>
        </is>
      </c>
      <c r="C439" s="17" t="n"/>
      <c r="D439" s="18" t="n">
        <v>25222.41</v>
      </c>
      <c r="E439" s="17" t="inlineStr">
        <is>
          <t xml:space="preserve"> 00005455/000000000008581</t>
        </is>
      </c>
      <c r="F439" s="17" t="inlineStr">
        <is>
          <t>OTRO</t>
        </is>
      </c>
    </row>
    <row r="440">
      <c r="A440" s="26" t="n">
        <v>46101</v>
      </c>
      <c r="B440" s="17" t="inlineStr">
        <is>
          <t>Pago a proveedores recibido</t>
        </is>
      </c>
      <c r="C440" s="17" t="n"/>
      <c r="D440" s="18" t="n">
        <v>145483.63</v>
      </c>
      <c r="E440" s="17" t="inlineStr">
        <is>
          <t xml:space="preserve"> Laboratorio mantel sa 30559310308 03 3455762</t>
        </is>
      </c>
      <c r="F440" s="17" t="inlineStr">
        <is>
          <t>OTRO</t>
        </is>
      </c>
    </row>
    <row r="441">
      <c r="A441" s="26" t="n">
        <v>46101</v>
      </c>
      <c r="B441" s="17" t="inlineStr">
        <is>
          <t>Transf recibida cvu mismo titular</t>
        </is>
      </c>
      <c r="C441" s="17" t="n"/>
      <c r="D441" s="18" t="n">
        <v>4000000</v>
      </c>
      <c r="E441" s="17" t="inlineStr">
        <is>
          <t xml:space="preserve"> De instrumental pasteur s r / mercado pago /30626629942</t>
        </is>
      </c>
      <c r="F441" s="17" t="inlineStr">
        <is>
          <t>OTRO</t>
        </is>
      </c>
    </row>
    <row r="442">
      <c r="A442" s="26" t="n">
        <v>46101</v>
      </c>
      <c r="B442" s="17" t="inlineStr">
        <is>
          <t>Transf recibida cvu dif titular</t>
        </is>
      </c>
      <c r="C442" s="17" t="n"/>
      <c r="D442" s="18" t="n">
        <v>309276</v>
      </c>
      <c r="E442" s="17" t="inlineStr">
        <is>
          <t xml:space="preserve"> De pamela aymara caraballo / mercado pago /23329468534</t>
        </is>
      </c>
      <c r="F442" s="17" t="inlineStr">
        <is>
          <t>OTRO</t>
        </is>
      </c>
    </row>
    <row r="443">
      <c r="A443" s="26" t="n">
        <v>46101</v>
      </c>
      <c r="B443" s="17" t="inlineStr">
        <is>
          <t>Transferencia recibida</t>
        </is>
      </c>
      <c r="C443" s="17" t="n"/>
      <c r="D443" s="18" t="n">
        <v>140030.04</v>
      </c>
      <c r="E443" s="17" t="inlineStr">
        <is>
          <t xml:space="preserve"> De druille/magdalena / 0029417568 - var / 27294175682</t>
        </is>
      </c>
      <c r="F443" s="17" t="inlineStr">
        <is>
          <t>OTRO</t>
        </is>
      </c>
    </row>
    <row r="444">
      <c r="A444" s="26" t="n">
        <v>46101</v>
      </c>
      <c r="B444" s="17" t="inlineStr">
        <is>
          <t>Transferencia recibida</t>
        </is>
      </c>
      <c r="C444" s="17" t="n"/>
      <c r="D444" s="18" t="n">
        <v>167919.12</v>
      </c>
      <c r="E444" s="17" t="inlineStr">
        <is>
          <t xml:space="preserve"> De glisoni,romina julieta / transf - var / 27283693592</t>
        </is>
      </c>
      <c r="F444" s="17" t="inlineStr">
        <is>
          <t>OTRO</t>
        </is>
      </c>
    </row>
    <row r="445">
      <c r="A445" s="26" t="n">
        <v>46101</v>
      </c>
      <c r="B445" s="17" t="inlineStr">
        <is>
          <t>Suscripcion fondos comunes invers</t>
        </is>
      </c>
      <c r="C445" s="18" t="n">
        <v>3000000</v>
      </c>
      <c r="D445" s="17" t="n"/>
      <c r="E445" s="17" t="inlineStr"/>
      <c r="F445" s="17" t="inlineStr">
        <is>
          <t>OTRO</t>
        </is>
      </c>
    </row>
    <row r="446">
      <c r="A446" s="26" t="n">
        <v>46101</v>
      </c>
      <c r="B446" s="17" t="inlineStr">
        <is>
          <t>Transferencia recibida</t>
        </is>
      </c>
      <c r="C446" s="17" t="n"/>
      <c r="D446" s="18" t="n">
        <v>2489256.3</v>
      </c>
      <c r="E446" s="17" t="inlineStr">
        <is>
          <t xml:space="preserve"> De gentile fernando man / - fac / 20121057205</t>
        </is>
      </c>
      <c r="F446" s="17" t="inlineStr">
        <is>
          <t>OTRO</t>
        </is>
      </c>
    </row>
    <row r="447">
      <c r="A447" s="26" t="n">
        <v>46101</v>
      </c>
      <c r="B447" s="17" t="inlineStr">
        <is>
          <t>Pago a proveedores recibido</t>
        </is>
      </c>
      <c r="C447" s="17" t="n"/>
      <c r="D447" s="18" t="n">
        <v>1836790.52</v>
      </c>
      <c r="E447" s="17" t="inlineStr">
        <is>
          <t xml:space="preserve"> Fundacion unive 30689902002 pag o a proveed</t>
        </is>
      </c>
      <c r="F447" s="17" t="inlineStr">
        <is>
          <t>OTRO</t>
        </is>
      </c>
    </row>
    <row r="448">
      <c r="A448" s="26" t="n">
        <v>46101</v>
      </c>
      <c r="B448" s="17" t="inlineStr">
        <is>
          <t>Pago a proveedores recibido</t>
        </is>
      </c>
      <c r="C448" s="17" t="n"/>
      <c r="D448" s="18" t="n">
        <v>1233857.62</v>
      </c>
      <c r="E448" s="17" t="inlineStr">
        <is>
          <t xml:space="preserve"> Univ nac lit ad 30546670550 t10 00340021947</t>
        </is>
      </c>
      <c r="F448" s="17" t="inlineStr">
        <is>
          <t>OTRO</t>
        </is>
      </c>
    </row>
    <row r="449">
      <c r="A449" s="26" t="n">
        <v>46101</v>
      </c>
      <c r="B449" s="17" t="inlineStr">
        <is>
          <t>Impuesto ley 25.413 credito 0,6%</t>
        </is>
      </c>
      <c r="C449" s="18" t="n">
        <v>40823.34</v>
      </c>
      <c r="D449" s="17" t="n"/>
      <c r="E449" s="17" t="inlineStr"/>
      <c r="F449" s="17" t="inlineStr">
        <is>
          <t>LEY25413_CREDITO</t>
        </is>
      </c>
    </row>
    <row r="450">
      <c r="A450" s="26" t="n">
        <v>46101</v>
      </c>
      <c r="B450" s="17" t="inlineStr">
        <is>
          <t>Impuesto ley 25.413 debito 0,6%</t>
        </is>
      </c>
      <c r="C450" s="18" t="n">
        <v>8778.290000000001</v>
      </c>
      <c r="D450" s="17" t="n"/>
      <c r="E450" s="17" t="inlineStr"/>
      <c r="F450" s="17" t="inlineStr">
        <is>
          <t>LEY25413_DEBITO</t>
        </is>
      </c>
    </row>
    <row r="451">
      <c r="A451" s="26" t="n">
        <v>46101</v>
      </c>
      <c r="B451" s="17" t="inlineStr">
        <is>
          <t>Adelanto iibb tuc letra h</t>
        </is>
      </c>
      <c r="C451" s="18" t="n">
        <v>7938.68</v>
      </c>
      <c r="D451" s="17" t="n"/>
      <c r="E451" s="17" t="inlineStr">
        <is>
          <t xml:space="preserve"> Resp:30626629942 / 0,12% sobre</t>
        </is>
      </c>
      <c r="F451" s="17" t="inlineStr">
        <is>
          <t>RET_IIBB_TUCUMAN</t>
        </is>
      </c>
    </row>
    <row r="452">
      <c r="A452" s="26" t="n">
        <v>46101</v>
      </c>
      <c r="B452" s="17" t="inlineStr">
        <is>
          <t>Regimen de recaudacion sircreb n</t>
        </is>
      </c>
      <c r="C452" s="18" t="n">
        <v>81646.66</v>
      </c>
      <c r="D452" s="17" t="n"/>
      <c r="E452" s="17" t="inlineStr">
        <is>
          <t xml:space="preserve"> Resp:30626629942 / 1,20% sobre</t>
        </is>
      </c>
      <c r="F452" s="17" t="inlineStr">
        <is>
          <t>RET_SIRCREB</t>
        </is>
      </c>
    </row>
    <row r="453">
      <c r="A453" s="26" t="n">
        <v>46104</v>
      </c>
      <c r="B453" s="17" t="inlineStr">
        <is>
          <t>Transferencia recibida</t>
        </is>
      </c>
      <c r="C453" s="17" t="n"/>
      <c r="D453" s="18" t="n">
        <v>89720.88</v>
      </c>
      <c r="E453" s="17" t="inlineStr">
        <is>
          <t xml:space="preserve"> De juliver sa / fac fac 6929 - fac / 30593368935</t>
        </is>
      </c>
      <c r="F453" s="17" t="inlineStr">
        <is>
          <t>OTRO</t>
        </is>
      </c>
    </row>
    <row r="454">
      <c r="A454" s="26" t="n">
        <v>46104</v>
      </c>
      <c r="B454" s="17" t="inlineStr">
        <is>
          <t>Transferencia recibida</t>
        </is>
      </c>
      <c r="C454" s="17" t="n"/>
      <c r="D454" s="18" t="n">
        <v>90764.52</v>
      </c>
      <c r="E454" s="17" t="inlineStr">
        <is>
          <t xml:space="preserve"> De sires/jorge ignacio / 0027855514 - var / 20278555144</t>
        </is>
      </c>
      <c r="F454" s="17" t="inlineStr">
        <is>
          <t>OTRO</t>
        </is>
      </c>
    </row>
    <row r="455">
      <c r="A455" s="26" t="n">
        <v>46105</v>
      </c>
      <c r="B455" s="17" t="inlineStr">
        <is>
          <t>Transferencia ctas mobile banking</t>
        </is>
      </c>
      <c r="C455" s="17" t="n"/>
      <c r="D455" s="18" t="n">
        <v>13316.45</v>
      </c>
      <c r="E455" s="17" t="inlineStr">
        <is>
          <t xml:space="preserve"> De luis augusto martin / varios - var / 20357220131</t>
        </is>
      </c>
      <c r="F455" s="17" t="inlineStr">
        <is>
          <t>OTRO</t>
        </is>
      </c>
    </row>
    <row r="456">
      <c r="A456" s="26" t="n">
        <v>46106</v>
      </c>
      <c r="B456" s="17" t="inlineStr">
        <is>
          <t>Pago comercios getnet nro.liq.</t>
        </is>
      </c>
      <c r="C456" s="18" t="n">
        <v>13737.76</v>
      </c>
      <c r="D456" s="17" t="n"/>
      <c r="E456" s="17" t="inlineStr">
        <is>
          <t xml:space="preserve"> 00015959/000000000008581</t>
        </is>
      </c>
      <c r="F456" s="17" t="inlineStr">
        <is>
          <t>OTRO</t>
        </is>
      </c>
    </row>
    <row r="457">
      <c r="A457" s="26" t="n">
        <v>46106</v>
      </c>
      <c r="B457" s="17" t="inlineStr">
        <is>
          <t>Transf recibida cvu mismo titular</t>
        </is>
      </c>
      <c r="C457" s="17" t="n"/>
      <c r="D457" s="18" t="n">
        <v>1000000</v>
      </c>
      <c r="E457" s="17" t="inlineStr">
        <is>
          <t xml:space="preserve"> De instrumental pasteur s r / mercado pago /30626629942</t>
        </is>
      </c>
      <c r="F457" s="17" t="inlineStr">
        <is>
          <t>OTRO</t>
        </is>
      </c>
    </row>
    <row r="458">
      <c r="A458" s="26" t="n">
        <v>46106</v>
      </c>
      <c r="B458" s="17" t="inlineStr">
        <is>
          <t>Credito transf online banking emp</t>
        </is>
      </c>
      <c r="C458" s="17" t="n"/>
      <c r="D458" s="18" t="n">
        <v>163226.26</v>
      </c>
      <c r="E458" s="17" t="inlineStr">
        <is>
          <t xml:space="preserve"> De iluminarte srl / factura - fac / 30707986324</t>
        </is>
      </c>
      <c r="F458" s="17" t="inlineStr">
        <is>
          <t>OTRO</t>
        </is>
      </c>
    </row>
    <row r="459">
      <c r="A459" s="26" t="n">
        <v>46106</v>
      </c>
      <c r="B459" s="17" t="inlineStr">
        <is>
          <t>Transferencia recibida</t>
        </is>
      </c>
      <c r="C459" s="17" t="n"/>
      <c r="D459" s="18" t="n">
        <v>199383.29</v>
      </c>
      <c r="E459" s="17" t="inlineStr">
        <is>
          <t xml:space="preserve"> De asoc coope otto krause / - fac / 30649264895</t>
        </is>
      </c>
      <c r="F459" s="17" t="inlineStr">
        <is>
          <t>OTRO</t>
        </is>
      </c>
    </row>
    <row r="460">
      <c r="A460" s="26" t="n">
        <v>46106</v>
      </c>
      <c r="B460" s="17" t="inlineStr">
        <is>
          <t>Transferencia recibida</t>
        </is>
      </c>
      <c r="C460" s="17" t="n"/>
      <c r="D460" s="18" t="n">
        <v>6000000</v>
      </c>
      <c r="E460" s="17" t="inlineStr">
        <is>
          <t xml:space="preserve"> De instrumental pasteur s / var mov inte - var / 30626629942</t>
        </is>
      </c>
      <c r="F460" s="17" t="inlineStr">
        <is>
          <t>OTRO</t>
        </is>
      </c>
    </row>
    <row r="461">
      <c r="A461" s="26" t="n">
        <v>46106</v>
      </c>
      <c r="B461" s="17" t="inlineStr">
        <is>
          <t>Debito transf. online banking emp</t>
        </is>
      </c>
      <c r="C461" s="18" t="n">
        <v>250092.5</v>
      </c>
      <c r="D461" s="17" t="n"/>
      <c r="E461" s="17" t="inlineStr">
        <is>
          <t xml:space="preserve"> A christian horacio seran / factura - fac / 20277137373</t>
        </is>
      </c>
      <c r="F461" s="17" t="inlineStr">
        <is>
          <t>OTRO</t>
        </is>
      </c>
    </row>
    <row r="462">
      <c r="A462" s="26" t="n">
        <v>46106</v>
      </c>
      <c r="B462" s="17" t="inlineStr">
        <is>
          <t>Debito transf. online banking emp</t>
        </is>
      </c>
      <c r="C462" s="18" t="n">
        <v>117854.59</v>
      </c>
      <c r="D462" s="17" t="n"/>
      <c r="E462" s="17" t="inlineStr">
        <is>
          <t xml:space="preserve"> A nss sa / factura - fac / 30702652975</t>
        </is>
      </c>
      <c r="F462" s="17" t="inlineStr">
        <is>
          <t>OTRO</t>
        </is>
      </c>
    </row>
    <row r="463">
      <c r="A463" s="26" t="n">
        <v>46106</v>
      </c>
      <c r="B463" s="17" t="inlineStr">
        <is>
          <t>Transferencia realizada</t>
        </is>
      </c>
      <c r="C463" s="18" t="n">
        <v>4108378.73</v>
      </c>
      <c r="D463" s="17" t="n"/>
      <c r="E463" s="17" t="inlineStr">
        <is>
          <t xml:space="preserve"> A tdc amex pesos / varios - var / 30574816870</t>
        </is>
      </c>
      <c r="F463" s="17" t="inlineStr">
        <is>
          <t>OTRO</t>
        </is>
      </c>
    </row>
    <row r="464">
      <c r="A464" s="26" t="n">
        <v>46106</v>
      </c>
      <c r="B464" s="17" t="inlineStr">
        <is>
          <t>Debito transf. online banking emp</t>
        </is>
      </c>
      <c r="C464" s="18" t="n">
        <v>63907.44</v>
      </c>
      <c r="D464" s="17" t="n"/>
      <c r="E464" s="17" t="inlineStr">
        <is>
          <t xml:space="preserve"> A alejandra alicia menini / factura - fac / 27178568413</t>
        </is>
      </c>
      <c r="F464" s="17" t="inlineStr">
        <is>
          <t>OTRO</t>
        </is>
      </c>
    </row>
    <row r="465">
      <c r="A465" s="26" t="n">
        <v>46106</v>
      </c>
      <c r="B465" s="17" t="inlineStr">
        <is>
          <t>Transferencia realizada</t>
        </is>
      </c>
      <c r="C465" s="18" t="n">
        <v>810669.2</v>
      </c>
      <c r="D465" s="17" t="n"/>
      <c r="E465" s="17" t="inlineStr">
        <is>
          <t xml:space="preserve"> A msm tech / factura - fac / 30717011666</t>
        </is>
      </c>
      <c r="F465" s="17" t="inlineStr">
        <is>
          <t>OTRO</t>
        </is>
      </c>
    </row>
    <row r="466">
      <c r="A466" s="26" t="n">
        <v>46106</v>
      </c>
      <c r="B466" s="17" t="inlineStr">
        <is>
          <t>Transferencia realizada</t>
        </is>
      </c>
      <c r="C466" s="18" t="n">
        <v>1536141.96</v>
      </c>
      <c r="D466" s="17" t="n"/>
      <c r="E466" s="17" t="inlineStr">
        <is>
          <t xml:space="preserve"> A correo andreani sa / factura - fac / 33699685459</t>
        </is>
      </c>
      <c r="F466" s="17" t="inlineStr">
        <is>
          <t>OTRO</t>
        </is>
      </c>
    </row>
    <row r="467">
      <c r="A467" s="26" t="n">
        <v>46106</v>
      </c>
      <c r="B467" s="17" t="inlineStr">
        <is>
          <t>Transferencia realizada</t>
        </is>
      </c>
      <c r="C467" s="18" t="n">
        <v>386428.77</v>
      </c>
      <c r="D467" s="17" t="n"/>
      <c r="E467" s="17" t="inlineStr">
        <is>
          <t xml:space="preserve"> A oca log s.a. / factura - fac / 30717024393</t>
        </is>
      </c>
      <c r="F467" s="17" t="inlineStr">
        <is>
          <t>OTRO</t>
        </is>
      </c>
    </row>
    <row r="468">
      <c r="A468" s="26" t="n">
        <v>46106</v>
      </c>
      <c r="B468" s="17" t="inlineStr">
        <is>
          <t>Transferencia realizada</t>
        </is>
      </c>
      <c r="C468" s="18" t="n">
        <v>1006489.17</v>
      </c>
      <c r="D468" s="17" t="n"/>
      <c r="E468" s="17" t="inlineStr">
        <is>
          <t xml:space="preserve"> A gaimberan lucia emilia / factura - fac / 27319701813</t>
        </is>
      </c>
      <c r="F468" s="17" t="inlineStr">
        <is>
          <t>OTRO</t>
        </is>
      </c>
    </row>
    <row r="469">
      <c r="A469" s="26" t="n">
        <v>46106</v>
      </c>
      <c r="B469" s="17" t="inlineStr">
        <is>
          <t>Transferencia realizada</t>
        </is>
      </c>
      <c r="C469" s="18" t="n">
        <v>52889.1</v>
      </c>
      <c r="D469" s="17" t="n"/>
      <c r="E469" s="17" t="inlineStr">
        <is>
          <t xml:space="preserve"> A elserver srl / varios - var / 30707447504</t>
        </is>
      </c>
      <c r="F469" s="17" t="inlineStr">
        <is>
          <t>OTRO</t>
        </is>
      </c>
    </row>
    <row r="470">
      <c r="A470" s="26" t="n">
        <v>46106</v>
      </c>
      <c r="B470" s="17" t="inlineStr">
        <is>
          <t>Transferencia realizada</t>
        </is>
      </c>
      <c r="C470" s="18" t="n">
        <v>259806.86</v>
      </c>
      <c r="D470" s="17" t="n"/>
      <c r="E470" s="17" t="inlineStr">
        <is>
          <t xml:space="preserve"> A osdepym / factura - fac / 30586661716</t>
        </is>
      </c>
      <c r="F470" s="17" t="inlineStr">
        <is>
          <t>OTRO</t>
        </is>
      </c>
    </row>
    <row r="471">
      <c r="A471" s="26" t="n">
        <v>46106</v>
      </c>
      <c r="B471" s="17" t="inlineStr">
        <is>
          <t>Pago de servicios</t>
        </is>
      </c>
      <c r="C471" s="18" t="n">
        <v>253421.8</v>
      </c>
      <c r="D471" s="17" t="n"/>
      <c r="E471" s="17" t="inlineStr">
        <is>
          <t xml:space="preserve"> Arba web: 00830626629942 - tarj nro. 6869</t>
        </is>
      </c>
      <c r="F471" s="17" t="inlineStr">
        <is>
          <t>OTRO</t>
        </is>
      </c>
    </row>
    <row r="472">
      <c r="A472" s="26" t="n">
        <v>46106</v>
      </c>
      <c r="B472" s="17" t="inlineStr">
        <is>
          <t>Transferencia realizada</t>
        </is>
      </c>
      <c r="C472" s="18" t="n">
        <v>851000</v>
      </c>
      <c r="D472" s="17" t="n"/>
      <c r="E472" s="17" t="inlineStr">
        <is>
          <t xml:space="preserve"> A bco comafi rec m.t. $ / varios - var / 30604731018</t>
        </is>
      </c>
      <c r="F472" s="17" t="inlineStr">
        <is>
          <t>OTRO</t>
        </is>
      </c>
    </row>
    <row r="473">
      <c r="A473" s="26" t="n">
        <v>46106</v>
      </c>
      <c r="B473" s="17" t="inlineStr">
        <is>
          <t>Transferencia recibida</t>
        </is>
      </c>
      <c r="C473" s="17" t="n"/>
      <c r="D473" s="18" t="n">
        <v>612349.85</v>
      </c>
      <c r="E473" s="17" t="inlineStr">
        <is>
          <t xml:space="preserve"> De fundacionros-cytec / 62 pict 2020 - fac / 30708406046</t>
        </is>
      </c>
      <c r="F473" s="17" t="inlineStr">
        <is>
          <t>OTRO</t>
        </is>
      </c>
    </row>
    <row r="474">
      <c r="A474" s="26" t="n">
        <v>46106</v>
      </c>
      <c r="B474" s="17" t="inlineStr">
        <is>
          <t>Suscripcion fondos comunes invers</t>
        </is>
      </c>
      <c r="C474" s="18" t="n">
        <v>5000000</v>
      </c>
      <c r="D474" s="17" t="n"/>
      <c r="E474" s="17" t="inlineStr"/>
      <c r="F474" s="17" t="inlineStr">
        <is>
          <t>OTRO</t>
        </is>
      </c>
    </row>
    <row r="475">
      <c r="A475" s="26" t="n">
        <v>46106</v>
      </c>
      <c r="B475" s="17" t="inlineStr">
        <is>
          <t>Transferencia recibida</t>
        </is>
      </c>
      <c r="C475" s="17" t="n"/>
      <c r="D475" s="18" t="n">
        <v>774090</v>
      </c>
      <c r="E475" s="17" t="inlineStr">
        <is>
          <t xml:space="preserve"> De brune/descalzi igor / - var / 20921516925</t>
        </is>
      </c>
      <c r="F475" s="17" t="inlineStr">
        <is>
          <t>OTRO</t>
        </is>
      </c>
    </row>
    <row r="476">
      <c r="A476" s="26" t="n">
        <v>46106</v>
      </c>
      <c r="B476" s="17" t="inlineStr">
        <is>
          <t>Transferencia recibida</t>
        </is>
      </c>
      <c r="C476" s="17" t="n"/>
      <c r="D476" s="18" t="n">
        <v>552006.21</v>
      </c>
      <c r="E476" s="17" t="inlineStr">
        <is>
          <t xml:space="preserve"> De camila lobaiza / - var / 27441346919</t>
        </is>
      </c>
      <c r="F476" s="17" t="inlineStr">
        <is>
          <t>OTRO</t>
        </is>
      </c>
    </row>
    <row r="477">
      <c r="A477" s="26" t="n">
        <v>46106</v>
      </c>
      <c r="B477" s="17" t="inlineStr">
        <is>
          <t>Pago a proveedores recibido</t>
        </is>
      </c>
      <c r="C477" s="17" t="n"/>
      <c r="D477" s="18" t="n">
        <v>20206.2</v>
      </c>
      <c r="E477" s="17" t="inlineStr">
        <is>
          <t xml:space="preserve"> Fundacion unive 30689902002 pag o a proveed</t>
        </is>
      </c>
      <c r="F477" s="17" t="inlineStr">
        <is>
          <t>OTRO</t>
        </is>
      </c>
    </row>
    <row r="478">
      <c r="A478" s="26" t="n">
        <v>46106</v>
      </c>
      <c r="B478" s="17" t="inlineStr">
        <is>
          <t>Pago a proveedores recibido</t>
        </is>
      </c>
      <c r="C478" s="17" t="n"/>
      <c r="D478" s="18" t="n">
        <v>314127.17</v>
      </c>
      <c r="E478" s="17" t="inlineStr">
        <is>
          <t xml:space="preserve"> Univ nac lit ad 30546670550 t10 00340021947</t>
        </is>
      </c>
      <c r="F478" s="17" t="inlineStr">
        <is>
          <t>OTRO</t>
        </is>
      </c>
    </row>
    <row r="479">
      <c r="A479" s="26" t="n">
        <v>46106</v>
      </c>
      <c r="B479" s="17" t="inlineStr">
        <is>
          <t>Impuesto ley 25.413 debito 0,6%</t>
        </is>
      </c>
      <c r="C479" s="18" t="n">
        <v>58802.42</v>
      </c>
      <c r="D479" s="17" t="n"/>
      <c r="E479" s="17" t="inlineStr"/>
      <c r="F479" s="17" t="inlineStr">
        <is>
          <t>LEY25413_DEBITO</t>
        </is>
      </c>
    </row>
    <row r="480">
      <c r="A480" s="26" t="n">
        <v>46106</v>
      </c>
      <c r="B480" s="17" t="inlineStr">
        <is>
          <t>Impuesto ley 25.413 credito 0,6%</t>
        </is>
      </c>
      <c r="C480" s="18" t="n">
        <v>16975.16</v>
      </c>
      <c r="D480" s="17" t="n"/>
      <c r="E480" s="17" t="inlineStr"/>
      <c r="F480" s="17" t="inlineStr">
        <is>
          <t>LEY25413_CREDITO</t>
        </is>
      </c>
    </row>
    <row r="481">
      <c r="A481" s="26" t="n">
        <v>46106</v>
      </c>
      <c r="B481" s="17" t="inlineStr">
        <is>
          <t>Comision transf otros bcos canales</t>
        </is>
      </c>
      <c r="C481" s="18" t="n">
        <v>720</v>
      </c>
      <c r="D481" s="17" t="n"/>
      <c r="E481" s="17" t="inlineStr">
        <is>
          <t xml:space="preserve"> Comision transferencias</t>
        </is>
      </c>
      <c r="F481" s="17" t="inlineStr">
        <is>
          <t>COMISION</t>
        </is>
      </c>
    </row>
    <row r="482">
      <c r="A482" s="26" t="n">
        <v>46106</v>
      </c>
      <c r="B482" s="17" t="inlineStr">
        <is>
          <t>Iva 21% reg de transfisc ley27743</t>
        </is>
      </c>
      <c r="C482" s="18" t="n">
        <v>151.2</v>
      </c>
      <c r="D482" s="17" t="n"/>
      <c r="E482" s="17" t="inlineStr"/>
      <c r="F482" s="17" t="inlineStr">
        <is>
          <t>IVA</t>
        </is>
      </c>
    </row>
    <row r="483">
      <c r="A483" s="26" t="n">
        <v>46106</v>
      </c>
      <c r="B483" s="17" t="inlineStr">
        <is>
          <t>Comision transf otros bcos canales</t>
        </is>
      </c>
      <c r="C483" s="18" t="n">
        <v>720</v>
      </c>
      <c r="D483" s="17" t="n"/>
      <c r="E483" s="17" t="inlineStr">
        <is>
          <t xml:space="preserve"> Comision transferencias</t>
        </is>
      </c>
      <c r="F483" s="17" t="inlineStr">
        <is>
          <t>COMISION</t>
        </is>
      </c>
    </row>
    <row r="484">
      <c r="A484" s="26" t="n">
        <v>46106</v>
      </c>
      <c r="B484" s="17" t="inlineStr">
        <is>
          <t>Iva 21% reg de transfisc ley27743</t>
        </is>
      </c>
      <c r="C484" s="18" t="n">
        <v>151.2</v>
      </c>
      <c r="D484" s="17" t="n"/>
      <c r="E484" s="17" t="inlineStr"/>
      <c r="F484" s="17" t="inlineStr">
        <is>
          <t>IVA</t>
        </is>
      </c>
    </row>
    <row r="485">
      <c r="A485" s="26" t="n">
        <v>46106</v>
      </c>
      <c r="B485" s="17" t="inlineStr">
        <is>
          <t>Comision transf otros bcos canales</t>
        </is>
      </c>
      <c r="C485" s="18" t="n">
        <v>1485</v>
      </c>
      <c r="D485" s="17" t="n"/>
      <c r="E485" s="17" t="inlineStr">
        <is>
          <t xml:space="preserve"> Comision transferencias</t>
        </is>
      </c>
      <c r="F485" s="17" t="inlineStr">
        <is>
          <t>COMISION</t>
        </is>
      </c>
    </row>
    <row r="486">
      <c r="A486" s="26" t="n">
        <v>46106</v>
      </c>
      <c r="B486" s="17" t="inlineStr">
        <is>
          <t>Iva 21% reg de transfisc ley27743</t>
        </is>
      </c>
      <c r="C486" s="18" t="n">
        <v>311.85</v>
      </c>
      <c r="D486" s="17" t="n"/>
      <c r="E486" s="17" t="inlineStr"/>
      <c r="F486" s="17" t="inlineStr">
        <is>
          <t>IVA</t>
        </is>
      </c>
    </row>
    <row r="487">
      <c r="A487" s="26" t="n">
        <v>46106</v>
      </c>
      <c r="B487" s="17" t="inlineStr">
        <is>
          <t>Comision transf otros bcos canales</t>
        </is>
      </c>
      <c r="C487" s="18" t="n">
        <v>1485</v>
      </c>
      <c r="D487" s="17" t="n"/>
      <c r="E487" s="17" t="inlineStr">
        <is>
          <t xml:space="preserve"> Comision transferencias</t>
        </is>
      </c>
      <c r="F487" s="17" t="inlineStr">
        <is>
          <t>COMISION</t>
        </is>
      </c>
    </row>
    <row r="488">
      <c r="A488" s="26" t="n">
        <v>46106</v>
      </c>
      <c r="B488" s="17" t="inlineStr">
        <is>
          <t>Iva 21% reg de transfisc ley27743</t>
        </is>
      </c>
      <c r="C488" s="18" t="n">
        <v>311.85</v>
      </c>
      <c r="D488" s="17" t="n"/>
      <c r="E488" s="17" t="inlineStr"/>
      <c r="F488" s="17" t="inlineStr">
        <is>
          <t>IVA</t>
        </is>
      </c>
    </row>
    <row r="489">
      <c r="A489" s="26" t="n">
        <v>46106</v>
      </c>
      <c r="B489" s="17" t="inlineStr">
        <is>
          <t>Comision transf otros bcos canales</t>
        </is>
      </c>
      <c r="C489" s="18" t="n">
        <v>1485</v>
      </c>
      <c r="D489" s="17" t="n"/>
      <c r="E489" s="17" t="inlineStr">
        <is>
          <t xml:space="preserve"> Comision transferencias</t>
        </is>
      </c>
      <c r="F489" s="17" t="inlineStr">
        <is>
          <t>COMISION</t>
        </is>
      </c>
    </row>
    <row r="490">
      <c r="A490" s="26" t="n">
        <v>46106</v>
      </c>
      <c r="B490" s="17" t="inlineStr">
        <is>
          <t>Iva 21% reg de transfisc ley27743</t>
        </is>
      </c>
      <c r="C490" s="18" t="n">
        <v>311.85</v>
      </c>
      <c r="D490" s="17" t="n"/>
      <c r="E490" s="17" t="inlineStr"/>
      <c r="F490" s="17" t="inlineStr">
        <is>
          <t>IVA</t>
        </is>
      </c>
    </row>
    <row r="491">
      <c r="A491" s="26" t="n">
        <v>46106</v>
      </c>
      <c r="B491" s="17" t="inlineStr">
        <is>
          <t>Comision transf otros bcos canales</t>
        </is>
      </c>
      <c r="C491" s="18" t="n">
        <v>1485</v>
      </c>
      <c r="D491" s="17" t="n"/>
      <c r="E491" s="17" t="inlineStr">
        <is>
          <t xml:space="preserve"> Comision transferencias</t>
        </is>
      </c>
      <c r="F491" s="17" t="inlineStr">
        <is>
          <t>COMISION</t>
        </is>
      </c>
    </row>
    <row r="492">
      <c r="A492" s="26" t="n">
        <v>46106</v>
      </c>
      <c r="B492" s="17" t="inlineStr">
        <is>
          <t>Iva 21% reg de transfisc ley27743</t>
        </is>
      </c>
      <c r="C492" s="18" t="n">
        <v>311.85</v>
      </c>
      <c r="D492" s="17" t="n"/>
      <c r="E492" s="17" t="inlineStr"/>
      <c r="F492" s="17" t="inlineStr">
        <is>
          <t>IVA</t>
        </is>
      </c>
    </row>
    <row r="493">
      <c r="A493" s="26" t="n">
        <v>46106</v>
      </c>
      <c r="B493" s="17" t="inlineStr">
        <is>
          <t>Comision transf otros bcos canales</t>
        </is>
      </c>
      <c r="C493" s="18" t="n">
        <v>1485</v>
      </c>
      <c r="D493" s="17" t="n"/>
      <c r="E493" s="17" t="inlineStr">
        <is>
          <t xml:space="preserve"> Comision transferencias</t>
        </is>
      </c>
      <c r="F493" s="17" t="inlineStr">
        <is>
          <t>COMISION</t>
        </is>
      </c>
    </row>
    <row r="494">
      <c r="A494" s="26" t="n">
        <v>46106</v>
      </c>
      <c r="B494" s="17" t="inlineStr">
        <is>
          <t>Iva 21% reg de transfisc ley27743</t>
        </is>
      </c>
      <c r="C494" s="18" t="n">
        <v>311.85</v>
      </c>
      <c r="D494" s="17" t="n"/>
      <c r="E494" s="17" t="inlineStr"/>
      <c r="F494" s="17" t="inlineStr">
        <is>
          <t>IVA</t>
        </is>
      </c>
    </row>
    <row r="495">
      <c r="A495" s="26" t="n">
        <v>46106</v>
      </c>
      <c r="B495" s="17" t="inlineStr">
        <is>
          <t>Comision transf otros bcos canales</t>
        </is>
      </c>
      <c r="C495" s="18" t="n">
        <v>1485</v>
      </c>
      <c r="D495" s="17" t="n"/>
      <c r="E495" s="17" t="inlineStr">
        <is>
          <t xml:space="preserve"> Comision transferencias</t>
        </is>
      </c>
      <c r="F495" s="17" t="inlineStr">
        <is>
          <t>COMISION</t>
        </is>
      </c>
    </row>
    <row r="496">
      <c r="A496" s="26" t="n">
        <v>46106</v>
      </c>
      <c r="B496" s="17" t="inlineStr">
        <is>
          <t>Iva 21% reg de transfisc ley27743</t>
        </is>
      </c>
      <c r="C496" s="18" t="n">
        <v>311.85</v>
      </c>
      <c r="D496" s="17" t="n"/>
      <c r="E496" s="17" t="inlineStr"/>
      <c r="F496" s="17" t="inlineStr">
        <is>
          <t>IVA</t>
        </is>
      </c>
    </row>
    <row r="497">
      <c r="A497" s="26" t="n">
        <v>46106</v>
      </c>
      <c r="B497" s="17" t="inlineStr">
        <is>
          <t>Adelanto iibb tuc letra h</t>
        </is>
      </c>
      <c r="C497" s="18" t="n">
        <v>3199.17</v>
      </c>
      <c r="D497" s="17" t="n"/>
      <c r="E497" s="17" t="inlineStr">
        <is>
          <t xml:space="preserve"> Resp:30626629942 / 0,12% sobre</t>
        </is>
      </c>
      <c r="F497" s="17" t="inlineStr">
        <is>
          <t>RET_IIBB_TUCUMAN</t>
        </is>
      </c>
    </row>
    <row r="498">
      <c r="A498" s="26" t="n">
        <v>46106</v>
      </c>
      <c r="B498" s="17" t="inlineStr">
        <is>
          <t>Regimen de recaudacion sircreb n</t>
        </is>
      </c>
      <c r="C498" s="18" t="n">
        <v>33950.29</v>
      </c>
      <c r="D498" s="17" t="n"/>
      <c r="E498" s="17" t="inlineStr">
        <is>
          <t xml:space="preserve"> Resp:30626629942 / 1,20% sobre</t>
        </is>
      </c>
      <c r="F498" s="17" t="inlineStr">
        <is>
          <t>RET_SIRCREB</t>
        </is>
      </c>
    </row>
    <row r="499">
      <c r="A499" s="26" t="n">
        <v>46107</v>
      </c>
      <c r="B499" s="17" t="inlineStr">
        <is>
          <t>Deposito echeq otro banco 48hs</t>
        </is>
      </c>
      <c r="C499" s="17" t="n"/>
      <c r="D499" s="18" t="n">
        <v>2578525.25</v>
      </c>
      <c r="E499" s="17" t="inlineStr"/>
      <c r="F499" s="17" t="inlineStr">
        <is>
          <t>OTRO</t>
        </is>
      </c>
    </row>
    <row r="500">
      <c r="A500" s="26" t="n">
        <v>46107</v>
      </c>
      <c r="B500" s="17" t="inlineStr">
        <is>
          <t>Deposito e-cheq 48hs presencia bsr</t>
        </is>
      </c>
      <c r="C500" s="17" t="n"/>
      <c r="D500" s="18" t="n">
        <v>3430492</v>
      </c>
      <c r="E500" s="17" t="inlineStr"/>
      <c r="F500" s="17" t="inlineStr">
        <is>
          <t>OTRO</t>
        </is>
      </c>
    </row>
    <row r="501">
      <c r="A501" s="26" t="n">
        <v>46107</v>
      </c>
      <c r="B501" s="17" t="inlineStr">
        <is>
          <t>Pago comercios getnet nro.liq.</t>
        </is>
      </c>
      <c r="C501" s="17" t="n"/>
      <c r="D501" s="18" t="n">
        <v>765317.27</v>
      </c>
      <c r="E501" s="17" t="inlineStr">
        <is>
          <t xml:space="preserve"> 00006395/000000000008581</t>
        </is>
      </c>
      <c r="F501" s="17" t="inlineStr">
        <is>
          <t>OTRO</t>
        </is>
      </c>
    </row>
    <row r="502">
      <c r="A502" s="26" t="n">
        <v>46107</v>
      </c>
      <c r="B502" s="17" t="inlineStr">
        <is>
          <t>Comision compensacion cheques cfu</t>
        </is>
      </c>
      <c r="C502" s="18" t="n">
        <v>24013.44</v>
      </c>
      <c r="D502" s="17" t="n"/>
      <c r="E502" s="17" t="inlineStr"/>
      <c r="F502" s="17" t="inlineStr">
        <is>
          <t>COMISION</t>
        </is>
      </c>
    </row>
    <row r="503">
      <c r="A503" s="26" t="n">
        <v>46107</v>
      </c>
      <c r="B503" s="17" t="inlineStr">
        <is>
          <t>Percepcion ingresos brutos caba</t>
        </is>
      </c>
      <c r="C503" s="18" t="n">
        <v>1200.67</v>
      </c>
      <c r="D503" s="17" t="n"/>
      <c r="E503" s="17" t="inlineStr"/>
      <c r="F503" s="17" t="inlineStr">
        <is>
          <t>PERC_IIBB</t>
        </is>
      </c>
    </row>
    <row r="504">
      <c r="A504" s="26" t="n">
        <v>46107</v>
      </c>
      <c r="B504" s="17" t="inlineStr">
        <is>
          <t>Iva 21% reg de transfisc ley27743</t>
        </is>
      </c>
      <c r="C504" s="18" t="n">
        <v>5042.82</v>
      </c>
      <c r="D504" s="17" t="n"/>
      <c r="E504" s="17" t="inlineStr"/>
      <c r="F504" s="17" t="inlineStr">
        <is>
          <t>IVA</t>
        </is>
      </c>
    </row>
    <row r="505">
      <c r="A505" s="26" t="n">
        <v>46107</v>
      </c>
      <c r="B505" s="17" t="inlineStr">
        <is>
          <t>Iva percepcion rg 2408</t>
        </is>
      </c>
      <c r="C505" s="18" t="n">
        <v>720.4</v>
      </c>
      <c r="D505" s="17" t="n"/>
      <c r="E505" s="17" t="inlineStr"/>
      <c r="F505" s="17" t="inlineStr">
        <is>
          <t>IVA</t>
        </is>
      </c>
    </row>
    <row r="506">
      <c r="A506" s="26" t="n">
        <v>46107</v>
      </c>
      <c r="B506" s="17" t="inlineStr">
        <is>
          <t>Pago a proveedores recibido</t>
        </is>
      </c>
      <c r="C506" s="17" t="n"/>
      <c r="D506" s="18" t="n">
        <v>1656214.2</v>
      </c>
      <c r="E506" s="17" t="inlineStr">
        <is>
          <t xml:space="preserve"> Gran mandisovi sa 30715635123 03 3159154</t>
        </is>
      </c>
      <c r="F506" s="17" t="inlineStr">
        <is>
          <t>OTRO</t>
        </is>
      </c>
    </row>
    <row r="507">
      <c r="A507" s="26" t="n">
        <v>46107</v>
      </c>
      <c r="B507" s="17" t="inlineStr">
        <is>
          <t>Pago comercios getnet nro.liq.</t>
        </is>
      </c>
      <c r="C507" s="17" t="n"/>
      <c r="D507" s="18" t="n">
        <v>62431.53</v>
      </c>
      <c r="E507" s="17" t="inlineStr">
        <is>
          <t xml:space="preserve"> 00007378/000000000008581</t>
        </is>
      </c>
      <c r="F507" s="17" t="inlineStr">
        <is>
          <t>OTRO</t>
        </is>
      </c>
    </row>
    <row r="508">
      <c r="A508" s="26" t="n">
        <v>46107</v>
      </c>
      <c r="B508" s="17" t="inlineStr">
        <is>
          <t>Transferencia pagos a terceros</t>
        </is>
      </c>
      <c r="C508" s="17" t="n"/>
      <c r="D508" s="18" t="n">
        <v>7735380.5</v>
      </c>
      <c r="E508" s="17" t="inlineStr">
        <is>
          <t xml:space="preserve"> Cuenca s a 30709287792 63 1805396</t>
        </is>
      </c>
      <c r="F508" s="17" t="inlineStr">
        <is>
          <t>OTRO</t>
        </is>
      </c>
    </row>
    <row r="509">
      <c r="A509" s="26" t="n">
        <v>46107</v>
      </c>
      <c r="B509" s="17" t="inlineStr">
        <is>
          <t>Pago a proveedores recibido</t>
        </is>
      </c>
      <c r="C509" s="17" t="n"/>
      <c r="D509" s="18" t="n">
        <v>315841.98</v>
      </c>
      <c r="E509" s="17" t="inlineStr">
        <is>
          <t xml:space="preserve"> Amfortis sa 30697577838 03 0289203</t>
        </is>
      </c>
      <c r="F509" s="17" t="inlineStr">
        <is>
          <t>OTRO</t>
        </is>
      </c>
    </row>
    <row r="510">
      <c r="A510" s="26" t="n">
        <v>46107</v>
      </c>
      <c r="B510" s="17" t="inlineStr">
        <is>
          <t>Suscripcion fondos comunes invers</t>
        </is>
      </c>
      <c r="C510" s="18" t="n">
        <v>11000000</v>
      </c>
      <c r="D510" s="17" t="n"/>
      <c r="E510" s="17" t="inlineStr"/>
      <c r="F510" s="17" t="inlineStr">
        <is>
          <t>OTRO</t>
        </is>
      </c>
    </row>
    <row r="511">
      <c r="A511" s="26" t="n">
        <v>46107</v>
      </c>
      <c r="B511" s="17" t="inlineStr">
        <is>
          <t>Transferencia recibida</t>
        </is>
      </c>
      <c r="C511" s="17" t="n"/>
      <c r="D511" s="18" t="n">
        <v>183836.8</v>
      </c>
      <c r="E511" s="17" t="inlineStr">
        <is>
          <t xml:space="preserve"> De nanox release technol / 69287 - fac / 30714324809</t>
        </is>
      </c>
      <c r="F511" s="17" t="inlineStr">
        <is>
          <t>OTRO</t>
        </is>
      </c>
    </row>
    <row r="512">
      <c r="A512" s="26" t="n">
        <v>46107</v>
      </c>
      <c r="B512" s="17" t="inlineStr">
        <is>
          <t>Pago a proveedores recibido</t>
        </is>
      </c>
      <c r="C512" s="17" t="n"/>
      <c r="D512" s="18" t="n">
        <v>1067992.79</v>
      </c>
      <c r="E512" s="17" t="inlineStr">
        <is>
          <t xml:space="preserve"> Jose fortunato levy 20103771367 03 0304752</t>
        </is>
      </c>
      <c r="F512" s="17" t="inlineStr">
        <is>
          <t>OTRO</t>
        </is>
      </c>
    </row>
    <row r="513">
      <c r="A513" s="26" t="n">
        <v>46107</v>
      </c>
      <c r="B513" s="17" t="inlineStr">
        <is>
          <t>Transf recibida cvu mismo titular</t>
        </is>
      </c>
      <c r="C513" s="17" t="n"/>
      <c r="D513" s="18" t="n">
        <v>3000000</v>
      </c>
      <c r="E513" s="17" t="inlineStr">
        <is>
          <t xml:space="preserve"> De instrumental pasteur s r / mercado pago /30626629942</t>
        </is>
      </c>
      <c r="F513" s="17" t="inlineStr">
        <is>
          <t>OTRO</t>
        </is>
      </c>
    </row>
    <row r="514">
      <c r="A514" s="26" t="n">
        <v>46107</v>
      </c>
      <c r="B514" s="17" t="inlineStr">
        <is>
          <t>Suscripcion fondos comunes invers</t>
        </is>
      </c>
      <c r="C514" s="18" t="n">
        <v>5000000</v>
      </c>
      <c r="D514" s="17" t="n"/>
      <c r="E514" s="17" t="inlineStr">
        <is>
          <t xml:space="preserve"> Inversion en fondo super ahorro</t>
        </is>
      </c>
      <c r="F514" s="17" t="inlineStr">
        <is>
          <t>OTRO</t>
        </is>
      </c>
    </row>
    <row r="515">
      <c r="A515" s="26" t="n">
        <v>46107</v>
      </c>
      <c r="B515" s="17" t="inlineStr">
        <is>
          <t>Transf recibida cvu dif titular</t>
        </is>
      </c>
      <c r="C515" s="17" t="n"/>
      <c r="D515" s="18" t="n">
        <v>116041.9</v>
      </c>
      <c r="E515" s="17" t="inlineStr">
        <is>
          <t xml:space="preserve"> De camilo jeremias rodriguez/ personal pay /20445885763</t>
        </is>
      </c>
      <c r="F515" s="17" t="inlineStr">
        <is>
          <t>OTRO</t>
        </is>
      </c>
    </row>
    <row r="516">
      <c r="A516" s="26" t="n">
        <v>46107</v>
      </c>
      <c r="B516" s="17" t="inlineStr">
        <is>
          <t>Impuesto ley 25.413 debito 0,6%</t>
        </is>
      </c>
      <c r="C516" s="18" t="n">
        <v>483.9</v>
      </c>
      <c r="D516" s="17" t="n"/>
      <c r="E516" s="17" t="inlineStr"/>
      <c r="F516" s="17" t="inlineStr">
        <is>
          <t>LEY25413_DEBITO</t>
        </is>
      </c>
    </row>
    <row r="517">
      <c r="A517" s="26" t="n">
        <v>46107</v>
      </c>
      <c r="B517" s="17" t="inlineStr">
        <is>
          <t>Impuesto ley 25.413 credito 0,6%</t>
        </is>
      </c>
      <c r="C517" s="18" t="n">
        <v>107472.44</v>
      </c>
      <c r="D517" s="17" t="n"/>
      <c r="E517" s="17" t="inlineStr"/>
      <c r="F517" s="17" t="inlineStr">
        <is>
          <t>LEY25413_CREDITO</t>
        </is>
      </c>
    </row>
    <row r="518">
      <c r="A518" s="26" t="n">
        <v>46107</v>
      </c>
      <c r="B518" s="17" t="inlineStr">
        <is>
          <t>Impuesto ley 25.413 credito 0,6%</t>
        </is>
      </c>
      <c r="C518" s="18" t="n">
        <v>2968.56</v>
      </c>
      <c r="D518" s="17" t="n"/>
      <c r="E518" s="17" t="inlineStr">
        <is>
          <t xml:space="preserve"> Cta orig: 195-032021/8 - base impo. usd362,44</t>
        </is>
      </c>
      <c r="F518" s="17" t="inlineStr">
        <is>
          <t>LEY25413_CREDITO</t>
        </is>
      </c>
    </row>
    <row r="519">
      <c r="A519" s="26" t="n">
        <v>46107</v>
      </c>
      <c r="B519" s="17" t="inlineStr">
        <is>
          <t>Adelanto iibb tuc letra h</t>
        </is>
      </c>
      <c r="C519" s="18" t="n">
        <v>20501.19</v>
      </c>
      <c r="D519" s="17" t="n"/>
      <c r="E519" s="17" t="inlineStr">
        <is>
          <t xml:space="preserve"> Resp:30626629942 / 0,12% sobre</t>
        </is>
      </c>
      <c r="F519" s="17" t="inlineStr">
        <is>
          <t>RET_IIBB_TUCUMAN</t>
        </is>
      </c>
    </row>
    <row r="520">
      <c r="A520" s="26" t="n">
        <v>46107</v>
      </c>
      <c r="B520" s="17" t="inlineStr">
        <is>
          <t>Regimen de recaudacion sircreb n</t>
        </is>
      </c>
      <c r="C520" s="18" t="n">
        <v>214944.88</v>
      </c>
      <c r="D520" s="17" t="n"/>
      <c r="E520" s="17" t="inlineStr">
        <is>
          <t xml:space="preserve"> Resp:30626629942 / 1,20% sobre</t>
        </is>
      </c>
      <c r="F520" s="17" t="inlineStr">
        <is>
          <t>RET_SIRCREB</t>
        </is>
      </c>
    </row>
    <row r="521">
      <c r="A521" s="26" t="n">
        <v>46108</v>
      </c>
      <c r="B521" s="17" t="inlineStr">
        <is>
          <t>Pago a proveedores</t>
        </is>
      </c>
      <c r="C521" s="17" t="n"/>
      <c r="D521" s="18" t="n">
        <v>1122853.35</v>
      </c>
      <c r="E521" s="17" t="inlineStr">
        <is>
          <t xml:space="preserve"> 260326007sidus sa cuit 30501317019</t>
        </is>
      </c>
      <c r="F521" s="17" t="inlineStr">
        <is>
          <t>OTRO</t>
        </is>
      </c>
    </row>
    <row r="522">
      <c r="A522" s="26" t="n">
        <v>46108</v>
      </c>
      <c r="B522" s="17" t="inlineStr">
        <is>
          <t>Pago comercios getnet nro.liq.</t>
        </is>
      </c>
      <c r="C522" s="17" t="n"/>
      <c r="D522" s="18" t="n">
        <v>1250435.77</v>
      </c>
      <c r="E522" s="17" t="inlineStr">
        <is>
          <t xml:space="preserve"> 00005409/000000000008581</t>
        </is>
      </c>
      <c r="F522" s="17" t="inlineStr">
        <is>
          <t>OTRO</t>
        </is>
      </c>
    </row>
    <row r="523">
      <c r="A523" s="26" t="n">
        <v>46108</v>
      </c>
      <c r="B523" s="17" t="inlineStr">
        <is>
          <t>Transferencia recibida</t>
        </is>
      </c>
      <c r="C523" s="17" t="n"/>
      <c r="D523" s="18" t="n">
        <v>173503.88</v>
      </c>
      <c r="E523" s="17" t="inlineStr">
        <is>
          <t xml:space="preserve"> De tripodi/valeria paula / 0020200391 - var / 27202003910</t>
        </is>
      </c>
      <c r="F523" s="17" t="inlineStr">
        <is>
          <t>OTRO</t>
        </is>
      </c>
    </row>
    <row r="524">
      <c r="A524" s="26" t="n">
        <v>46108</v>
      </c>
      <c r="B524" s="17" t="inlineStr">
        <is>
          <t>Transferencia recibida</t>
        </is>
      </c>
      <c r="C524" s="17" t="n"/>
      <c r="D524" s="18" t="n">
        <v>596451.92</v>
      </c>
      <c r="E524" s="17" t="inlineStr">
        <is>
          <t xml:space="preserve"> De flores, paola lorena / microsc tir - var / 23292996314</t>
        </is>
      </c>
      <c r="F524" s="17" t="inlineStr">
        <is>
          <t>OTRO</t>
        </is>
      </c>
    </row>
    <row r="525">
      <c r="A525" s="26" t="n">
        <v>46108</v>
      </c>
      <c r="B525" s="17" t="inlineStr">
        <is>
          <t>Pago a proveedores recibido</t>
        </is>
      </c>
      <c r="C525" s="17" t="n"/>
      <c r="D525" s="18" t="n">
        <v>266713.87</v>
      </c>
      <c r="E525" s="17" t="inlineStr">
        <is>
          <t xml:space="preserve"> Wiener laboratorios 30522228210 03 0244110</t>
        </is>
      </c>
      <c r="F525" s="17" t="inlineStr">
        <is>
          <t>OTRO</t>
        </is>
      </c>
    </row>
    <row r="526">
      <c r="A526" s="26" t="n">
        <v>46108</v>
      </c>
      <c r="B526" s="17" t="inlineStr">
        <is>
          <t>Pago a proveedores recibido</t>
        </is>
      </c>
      <c r="C526" s="17" t="n"/>
      <c r="D526" s="18" t="n">
        <v>107044.75</v>
      </c>
      <c r="E526" s="17" t="inlineStr">
        <is>
          <t xml:space="preserve"> Holliday scott sa 30539235180 03 3336696</t>
        </is>
      </c>
      <c r="F526" s="17" t="inlineStr">
        <is>
          <t>OTRO</t>
        </is>
      </c>
    </row>
    <row r="527">
      <c r="A527" s="26" t="n">
        <v>46108</v>
      </c>
      <c r="B527" s="17" t="inlineStr">
        <is>
          <t>Transferencia recibida</t>
        </is>
      </c>
      <c r="C527" s="17" t="n"/>
      <c r="D527" s="18" t="n">
        <v>290294.55</v>
      </c>
      <c r="E527" s="17" t="inlineStr">
        <is>
          <t xml:space="preserve"> De baier, carlos / - var / 20259905932</t>
        </is>
      </c>
      <c r="F527" s="17" t="inlineStr">
        <is>
          <t>OTRO</t>
        </is>
      </c>
    </row>
    <row r="528">
      <c r="A528" s="26" t="n">
        <v>46108</v>
      </c>
      <c r="B528" s="17" t="inlineStr">
        <is>
          <t>Suscripcion fondos comunes invers</t>
        </is>
      </c>
      <c r="C528" s="18" t="n">
        <v>9000000</v>
      </c>
      <c r="D528" s="17" t="n"/>
      <c r="E528" s="17" t="inlineStr">
        <is>
          <t xml:space="preserve"> Inversion en fondo super ahorro</t>
        </is>
      </c>
      <c r="F528" s="17" t="inlineStr">
        <is>
          <t>OTRO</t>
        </is>
      </c>
    </row>
    <row r="529">
      <c r="A529" s="26" t="n">
        <v>46108</v>
      </c>
      <c r="B529" s="17" t="inlineStr">
        <is>
          <t>Transferencia recibida</t>
        </is>
      </c>
      <c r="C529" s="17" t="n"/>
      <c r="D529" s="18" t="n">
        <v>70792.7</v>
      </c>
      <c r="E529" s="17" t="inlineStr">
        <is>
          <t xml:space="preserve"> De jonas ariel arguello m / - var / 20943137073</t>
        </is>
      </c>
      <c r="F529" s="17" t="inlineStr">
        <is>
          <t>OTRO</t>
        </is>
      </c>
    </row>
    <row r="530">
      <c r="A530" s="26" t="n">
        <v>46108</v>
      </c>
      <c r="B530" s="17" t="inlineStr">
        <is>
          <t>Transferencia recibida</t>
        </is>
      </c>
      <c r="C530" s="17" t="n"/>
      <c r="D530" s="18" t="n">
        <v>72514.7</v>
      </c>
      <c r="E530" s="17" t="inlineStr">
        <is>
          <t xml:space="preserve"> De aguirre gonzalo ezequi / 0035391831 - var / 20353918312</t>
        </is>
      </c>
      <c r="F530" s="17" t="inlineStr">
        <is>
          <t>OTRO</t>
        </is>
      </c>
    </row>
    <row r="531">
      <c r="A531" s="26" t="n">
        <v>46108</v>
      </c>
      <c r="B531" s="17" t="inlineStr">
        <is>
          <t>Transf minorista recibida snp</t>
        </is>
      </c>
      <c r="C531" s="17" t="n"/>
      <c r="D531" s="18" t="n">
        <v>106948.5</v>
      </c>
      <c r="E531" s="17" t="inlineStr">
        <is>
          <t xml:space="preserve"> Chacra experime 33509195639 var 11700030940</t>
        </is>
      </c>
      <c r="F531" s="17" t="inlineStr">
        <is>
          <t>OTRO</t>
        </is>
      </c>
    </row>
    <row r="532">
      <c r="A532" s="26" t="n">
        <v>46108</v>
      </c>
      <c r="B532" s="17" t="inlineStr">
        <is>
          <t>Impuesto ley 25.413 debito 0,6%</t>
        </is>
      </c>
      <c r="C532" s="18" t="n">
        <v>1412.68</v>
      </c>
      <c r="D532" s="17" t="n"/>
      <c r="E532" s="17" t="inlineStr"/>
      <c r="F532" s="17" t="inlineStr">
        <is>
          <t>LEY25413_DEBITO</t>
        </is>
      </c>
    </row>
    <row r="533">
      <c r="A533" s="26" t="n">
        <v>46108</v>
      </c>
      <c r="B533" s="17" t="inlineStr">
        <is>
          <t>Impuesto ley 25.413 credito 0,6%</t>
        </is>
      </c>
      <c r="C533" s="18" t="n">
        <v>24345.32</v>
      </c>
      <c r="D533" s="17" t="n"/>
      <c r="E533" s="17" t="inlineStr"/>
      <c r="F533" s="17" t="inlineStr">
        <is>
          <t>LEY25413_CREDITO</t>
        </is>
      </c>
    </row>
    <row r="534">
      <c r="A534" s="26" t="n">
        <v>46108</v>
      </c>
      <c r="B534" s="17" t="inlineStr">
        <is>
          <t>Regimen de recaudacion sircreb n</t>
        </is>
      </c>
      <c r="C534" s="18" t="n">
        <v>48690.65</v>
      </c>
      <c r="D534" s="17" t="n"/>
      <c r="E534" s="17" t="inlineStr">
        <is>
          <t xml:space="preserve"> Resp:30626629942 / 1,20% sobre</t>
        </is>
      </c>
      <c r="F534" s="17" t="inlineStr">
        <is>
          <t>RET_SIRCREB</t>
        </is>
      </c>
    </row>
    <row r="535">
      <c r="A535" s="26" t="n">
        <v>46108</v>
      </c>
      <c r="B535" s="17" t="inlineStr">
        <is>
          <t>Adelanto iibb tuc letra h</t>
        </is>
      </c>
      <c r="C535" s="18" t="n">
        <v>3368.53</v>
      </c>
      <c r="D535" s="17" t="n"/>
      <c r="E535" s="17" t="inlineStr">
        <is>
          <t xml:space="preserve"> Resp:30626629942 / 0,12% sobre</t>
        </is>
      </c>
      <c r="F535" s="17" t="inlineStr">
        <is>
          <t>RET_IIBB_TUCUMAN</t>
        </is>
      </c>
    </row>
    <row r="536">
      <c r="A536" s="26" t="n">
        <v>46110</v>
      </c>
      <c r="B536" s="17" t="inlineStr">
        <is>
          <t>Transferencia recibida</t>
        </is>
      </c>
      <c r="C536" s="17" t="n"/>
      <c r="D536" s="18" t="n">
        <v>56571.58</v>
      </c>
      <c r="E536" s="17" t="inlineStr">
        <is>
          <t xml:space="preserve"> De boado/lorena analia / - fac / 24267355890</t>
        </is>
      </c>
      <c r="F536" s="17" t="inlineStr">
        <is>
          <t>OTRO</t>
        </is>
      </c>
    </row>
    <row r="537">
      <c r="A537" s="26" t="n">
        <v>46111</v>
      </c>
      <c r="B537" s="17" t="inlineStr">
        <is>
          <t>Comision por servicio de cuenta</t>
        </is>
      </c>
      <c r="C537" s="18" t="n">
        <v>57500</v>
      </c>
      <c r="D537" s="17" t="n"/>
      <c r="E537" s="17" t="inlineStr"/>
      <c r="F537" s="17" t="inlineStr">
        <is>
          <t>COMISION</t>
        </is>
      </c>
    </row>
    <row r="538">
      <c r="A538" s="26" t="n">
        <v>46111</v>
      </c>
      <c r="B538" s="17" t="inlineStr">
        <is>
          <t>Percepcion ingresos brutos caba</t>
        </is>
      </c>
      <c r="C538" s="18" t="n">
        <v>2875</v>
      </c>
      <c r="D538" s="17" t="n"/>
      <c r="E538" s="17" t="inlineStr"/>
      <c r="F538" s="17" t="inlineStr">
        <is>
          <t>PERC_IIBB</t>
        </is>
      </c>
    </row>
    <row r="539">
      <c r="A539" s="26" t="n">
        <v>46111</v>
      </c>
      <c r="B539" s="17" t="inlineStr">
        <is>
          <t>Iva 21% reg de transfisc ley27743</t>
        </is>
      </c>
      <c r="C539" s="18" t="n">
        <v>12075</v>
      </c>
      <c r="D539" s="17" t="n"/>
      <c r="E539" s="17" t="inlineStr"/>
      <c r="F539" s="17" t="inlineStr">
        <is>
          <t>IVA</t>
        </is>
      </c>
    </row>
    <row r="540">
      <c r="A540" s="26" t="n">
        <v>46111</v>
      </c>
      <c r="B540" s="17" t="inlineStr">
        <is>
          <t>Iva percepcion rg 2408</t>
        </is>
      </c>
      <c r="C540" s="18" t="n">
        <v>1725</v>
      </c>
      <c r="D540" s="17" t="n"/>
      <c r="E540" s="17" t="inlineStr"/>
      <c r="F540" s="17" t="inlineStr">
        <is>
          <t>IVA</t>
        </is>
      </c>
    </row>
    <row r="541">
      <c r="A541" s="26" t="n">
        <v>46111</v>
      </c>
      <c r="B541" s="17" t="inlineStr">
        <is>
          <t>Comision servicio cuenta dolares</t>
        </is>
      </c>
      <c r="C541" s="18" t="n">
        <v>13825</v>
      </c>
      <c r="D541" s="17" t="n"/>
      <c r="E541" s="17" t="inlineStr"/>
      <c r="F541" s="17" t="inlineStr">
        <is>
          <t>COMISION</t>
        </is>
      </c>
    </row>
    <row r="542">
      <c r="A542" s="26" t="n">
        <v>46111</v>
      </c>
      <c r="B542" s="17" t="inlineStr">
        <is>
          <t>Percepcion ingresos brutos caba</t>
        </is>
      </c>
      <c r="C542" s="18" t="n">
        <v>691.25</v>
      </c>
      <c r="D542" s="17" t="n"/>
      <c r="E542" s="17" t="inlineStr"/>
      <c r="F542" s="17" t="inlineStr">
        <is>
          <t>PERC_IIBB</t>
        </is>
      </c>
    </row>
    <row r="543">
      <c r="A543" s="26" t="n">
        <v>46111</v>
      </c>
      <c r="B543" s="17" t="inlineStr">
        <is>
          <t>Iva 21% reg de transfisc ley27743</t>
        </is>
      </c>
      <c r="C543" s="18" t="n">
        <v>2903.25</v>
      </c>
      <c r="D543" s="17" t="n"/>
      <c r="E543" s="17" t="inlineStr"/>
      <c r="F543" s="17" t="inlineStr">
        <is>
          <t>IVA</t>
        </is>
      </c>
    </row>
    <row r="544">
      <c r="A544" s="26" t="n">
        <v>46111</v>
      </c>
      <c r="B544" s="17" t="inlineStr">
        <is>
          <t>Iva percepcion rg 2408</t>
        </is>
      </c>
      <c r="C544" s="18" t="n">
        <v>414.75</v>
      </c>
      <c r="D544" s="17" t="n"/>
      <c r="E544" s="17" t="inlineStr"/>
      <c r="F544" s="17" t="inlineStr">
        <is>
          <t>IVA</t>
        </is>
      </c>
    </row>
    <row r="545">
      <c r="A545" s="26" t="n">
        <v>46111</v>
      </c>
      <c r="B545" s="17" t="inlineStr">
        <is>
          <t>Pago comercios getnet nro.liq.</t>
        </is>
      </c>
      <c r="C545" s="17" t="n"/>
      <c r="D545" s="18" t="n">
        <v>51963.28</v>
      </c>
      <c r="E545" s="17" t="inlineStr">
        <is>
          <t xml:space="preserve"> 00004811/000000000008581</t>
        </is>
      </c>
      <c r="F545" s="17" t="inlineStr">
        <is>
          <t>OTRO</t>
        </is>
      </c>
    </row>
    <row r="546">
      <c r="A546" s="26" t="n">
        <v>46111</v>
      </c>
      <c r="B546" s="17" t="inlineStr">
        <is>
          <t>Pago a proveedores recibido</t>
        </is>
      </c>
      <c r="C546" s="17" t="n"/>
      <c r="D546" s="18" t="n">
        <v>101094</v>
      </c>
      <c r="E546" s="17" t="inlineStr">
        <is>
          <t xml:space="preserve"> Francisco h. walz s.c.a. 30544210803 03 0204142</t>
        </is>
      </c>
      <c r="F546" s="17" t="inlineStr">
        <is>
          <t>OTRO</t>
        </is>
      </c>
    </row>
    <row r="547">
      <c r="A547" s="26" t="n">
        <v>46111</v>
      </c>
      <c r="B547" s="17" t="inlineStr">
        <is>
          <t>Pago comercios getnet nro.liq.</t>
        </is>
      </c>
      <c r="C547" s="17" t="n"/>
      <c r="D547" s="18" t="n">
        <v>1176895.48</v>
      </c>
      <c r="E547" s="17" t="inlineStr">
        <is>
          <t xml:space="preserve"> 00005331/000000000008581</t>
        </is>
      </c>
      <c r="F547" s="17" t="inlineStr">
        <is>
          <t>OTRO</t>
        </is>
      </c>
    </row>
    <row r="548">
      <c r="A548" s="26" t="n">
        <v>46111</v>
      </c>
      <c r="B548" s="17" t="inlineStr">
        <is>
          <t>Pago a proveedores recibido</t>
        </is>
      </c>
      <c r="C548" s="17" t="n"/>
      <c r="D548" s="18" t="n">
        <v>128041.62</v>
      </c>
      <c r="E548" s="17" t="inlineStr">
        <is>
          <t xml:space="preserve"> Ubatec s.a.-anpcyt 30644259486 03 1110035</t>
        </is>
      </c>
      <c r="F548" s="17" t="inlineStr">
        <is>
          <t>OTRO</t>
        </is>
      </c>
    </row>
    <row r="549">
      <c r="A549" s="26" t="n">
        <v>46111</v>
      </c>
      <c r="B549" s="17" t="inlineStr">
        <is>
          <t>Transferencia recibida</t>
        </is>
      </c>
      <c r="C549" s="17" t="n"/>
      <c r="D549" s="18" t="n">
        <v>855779.96</v>
      </c>
      <c r="E549" s="17" t="inlineStr">
        <is>
          <t xml:space="preserve"> De silcolor sa / - fac / 30608178917</t>
        </is>
      </c>
      <c r="F549" s="17" t="inlineStr">
        <is>
          <t>OTRO</t>
        </is>
      </c>
    </row>
    <row r="550">
      <c r="A550" s="26" t="n">
        <v>46111</v>
      </c>
      <c r="B550" s="17" t="inlineStr">
        <is>
          <t>Transf recibida cvu dif titular</t>
        </is>
      </c>
      <c r="C550" s="17" t="n"/>
      <c r="D550" s="18" t="n">
        <v>308187</v>
      </c>
      <c r="E550" s="17" t="inlineStr">
        <is>
          <t xml:space="preserve"> De beatriz monica meizoso / mercado pago /27109663250</t>
        </is>
      </c>
      <c r="F550" s="17" t="inlineStr">
        <is>
          <t>OTRO</t>
        </is>
      </c>
    </row>
    <row r="551">
      <c r="A551" s="26" t="n">
        <v>46111</v>
      </c>
      <c r="B551" s="17" t="inlineStr">
        <is>
          <t>Transf recibida cvu mismo titular</t>
        </is>
      </c>
      <c r="C551" s="17" t="n"/>
      <c r="D551" s="18" t="n">
        <v>1500000</v>
      </c>
      <c r="E551" s="17" t="inlineStr">
        <is>
          <t xml:space="preserve"> De instrumental pasteur s r / mercado pago /30626629942</t>
        </is>
      </c>
      <c r="F551" s="17" t="inlineStr">
        <is>
          <t>OTRO</t>
        </is>
      </c>
    </row>
    <row r="552">
      <c r="A552" s="26" t="n">
        <v>46111</v>
      </c>
      <c r="B552" s="17" t="inlineStr">
        <is>
          <t>Transferencia recibida</t>
        </is>
      </c>
      <c r="C552" s="17" t="n"/>
      <c r="D552" s="18" t="n">
        <v>3000000</v>
      </c>
      <c r="E552" s="17" t="inlineStr">
        <is>
          <t xml:space="preserve"> De instrumental pasteur s / var mov inte - var / 30626629942</t>
        </is>
      </c>
      <c r="F552" s="17" t="inlineStr">
        <is>
          <t>OTRO</t>
        </is>
      </c>
    </row>
    <row r="553">
      <c r="A553" s="26" t="n">
        <v>46111</v>
      </c>
      <c r="B553" s="17" t="inlineStr">
        <is>
          <t>Transf recibida cvu mismo titular</t>
        </is>
      </c>
      <c r="C553" s="17" t="n"/>
      <c r="D553" s="18" t="n">
        <v>15000000</v>
      </c>
      <c r="E553" s="17" t="inlineStr">
        <is>
          <t xml:space="preserve"> De instrumental pasteur s r / mercado pago /30626629942</t>
        </is>
      </c>
      <c r="F553" s="17" t="inlineStr">
        <is>
          <t>OTRO</t>
        </is>
      </c>
    </row>
    <row r="554">
      <c r="A554" s="26" t="n">
        <v>46111</v>
      </c>
      <c r="B554" s="17" t="inlineStr">
        <is>
          <t>Pago cci 24hs no gravada interbank</t>
        </is>
      </c>
      <c r="C554" s="18" t="n">
        <v>3000000</v>
      </c>
      <c r="D554" s="17" t="n"/>
      <c r="E554" s="17" t="inlineStr">
        <is>
          <t xml:space="preserve"> A instrumental pasteur / varios - var / 30626629942</t>
        </is>
      </c>
      <c r="F554" s="17" t="inlineStr">
        <is>
          <t>OTRO</t>
        </is>
      </c>
    </row>
    <row r="555">
      <c r="A555" s="26" t="n">
        <v>46111</v>
      </c>
      <c r="B555" s="17" t="inlineStr">
        <is>
          <t>Transferencia realizada</t>
        </is>
      </c>
      <c r="C555" s="18" t="n">
        <v>542786.63</v>
      </c>
      <c r="D555" s="17" t="n"/>
      <c r="E555" s="17" t="inlineStr">
        <is>
          <t xml:space="preserve"> A claro esteban,canepa / factura - fac / 20053908056</t>
        </is>
      </c>
      <c r="F555" s="17" t="inlineStr">
        <is>
          <t>OTRO</t>
        </is>
      </c>
    </row>
    <row r="556">
      <c r="A556" s="26" t="n">
        <v>46111</v>
      </c>
      <c r="B556" s="17" t="inlineStr">
        <is>
          <t>Transferencia realizada</t>
        </is>
      </c>
      <c r="C556" s="18" t="n">
        <v>211750</v>
      </c>
      <c r="D556" s="17" t="n"/>
      <c r="E556" s="17" t="inlineStr">
        <is>
          <t xml:space="preserve"> A d angelo jonathan n / factura - fac / 20388868199</t>
        </is>
      </c>
      <c r="F556" s="17" t="inlineStr">
        <is>
          <t>OTRO</t>
        </is>
      </c>
    </row>
    <row r="557">
      <c r="A557" s="26" t="n">
        <v>46111</v>
      </c>
      <c r="B557" s="17" t="inlineStr">
        <is>
          <t>Transferencia realizada</t>
        </is>
      </c>
      <c r="C557" s="18" t="n">
        <v>10615330</v>
      </c>
      <c r="D557" s="17" t="n"/>
      <c r="E557" s="17" t="inlineStr">
        <is>
          <t xml:space="preserve"> A agroactiva sa / varios - var / 30707948538</t>
        </is>
      </c>
      <c r="F557" s="17" t="inlineStr">
        <is>
          <t>OTRO</t>
        </is>
      </c>
    </row>
    <row r="558">
      <c r="A558" s="26" t="n">
        <v>46111</v>
      </c>
      <c r="B558" s="17" t="inlineStr">
        <is>
          <t>Credito transf online banking emp</t>
        </is>
      </c>
      <c r="C558" s="17" t="n"/>
      <c r="D558" s="18" t="n">
        <v>470220.6</v>
      </c>
      <c r="E558" s="17" t="inlineStr">
        <is>
          <t xml:space="preserve"> De lacfarm srl / varios - var / 30709327247</t>
        </is>
      </c>
      <c r="F558" s="17" t="inlineStr">
        <is>
          <t>OTRO</t>
        </is>
      </c>
    </row>
    <row r="559">
      <c r="A559" s="26" t="n">
        <v>46111</v>
      </c>
      <c r="B559" s="17" t="inlineStr">
        <is>
          <t>Pago a proveedores recibido</t>
        </is>
      </c>
      <c r="C559" s="17" t="n"/>
      <c r="D559" s="18" t="n">
        <v>182655.55</v>
      </c>
      <c r="E559" s="17" t="inlineStr">
        <is>
          <t xml:space="preserve"> Instituto de fisiologia y bio 30714547719 03 0244244</t>
        </is>
      </c>
      <c r="F559" s="17" t="inlineStr">
        <is>
          <t>OTRO</t>
        </is>
      </c>
    </row>
    <row r="560">
      <c r="A560" s="26" t="n">
        <v>46111</v>
      </c>
      <c r="B560" s="17" t="inlineStr">
        <is>
          <t>Suscripcion fondos comunes invers</t>
        </is>
      </c>
      <c r="C560" s="18" t="n">
        <v>9000000</v>
      </c>
      <c r="D560" s="17" t="n"/>
      <c r="E560" s="17" t="inlineStr">
        <is>
          <t xml:space="preserve"> Inversion en fondo super ahorro</t>
        </is>
      </c>
      <c r="F560" s="17" t="inlineStr">
        <is>
          <t>OTRO</t>
        </is>
      </c>
    </row>
    <row r="561">
      <c r="A561" s="26" t="n">
        <v>46111</v>
      </c>
      <c r="B561" s="17" t="inlineStr">
        <is>
          <t>Impuesto ley 25.413 credito 0,6%</t>
        </is>
      </c>
      <c r="C561" s="18" t="n">
        <v>19988.44</v>
      </c>
      <c r="D561" s="17" t="n"/>
      <c r="E561" s="17" t="inlineStr"/>
      <c r="F561" s="17" t="inlineStr">
        <is>
          <t>LEY25413_CREDITO</t>
        </is>
      </c>
    </row>
    <row r="562">
      <c r="A562" s="26" t="n">
        <v>46111</v>
      </c>
      <c r="B562" s="17" t="inlineStr">
        <is>
          <t>Impuesto ley 25.413 debito 0,6%</t>
        </is>
      </c>
      <c r="C562" s="18" t="n">
        <v>69083.61</v>
      </c>
      <c r="D562" s="17" t="n"/>
      <c r="E562" s="17" t="inlineStr"/>
      <c r="F562" s="17" t="inlineStr">
        <is>
          <t>LEY25413_DEBITO</t>
        </is>
      </c>
    </row>
    <row r="563">
      <c r="A563" s="26" t="n">
        <v>46111</v>
      </c>
      <c r="B563" s="17" t="inlineStr">
        <is>
          <t>Comision transf otros bcos canales</t>
        </is>
      </c>
      <c r="C563" s="18" t="n">
        <v>720</v>
      </c>
      <c r="D563" s="17" t="n"/>
      <c r="E563" s="17" t="inlineStr">
        <is>
          <t xml:space="preserve"> Comision transferencias</t>
        </is>
      </c>
      <c r="F563" s="17" t="inlineStr">
        <is>
          <t>COMISION</t>
        </is>
      </c>
    </row>
    <row r="564">
      <c r="A564" s="26" t="n">
        <v>46111</v>
      </c>
      <c r="B564" s="17" t="inlineStr">
        <is>
          <t>Iva 21% reg de transfisc ley27743</t>
        </is>
      </c>
      <c r="C564" s="18" t="n">
        <v>151.2</v>
      </c>
      <c r="D564" s="17" t="n"/>
      <c r="E564" s="17" t="inlineStr"/>
      <c r="F564" s="17" t="inlineStr">
        <is>
          <t>IVA</t>
        </is>
      </c>
    </row>
    <row r="565">
      <c r="A565" s="26" t="n">
        <v>46111</v>
      </c>
      <c r="B565" s="17" t="inlineStr">
        <is>
          <t>Comision transf otros bcos canales</t>
        </is>
      </c>
      <c r="C565" s="18" t="n">
        <v>1485</v>
      </c>
      <c r="D565" s="17" t="n"/>
      <c r="E565" s="17" t="inlineStr">
        <is>
          <t xml:space="preserve"> Comision transferencias</t>
        </is>
      </c>
      <c r="F565" s="17" t="inlineStr">
        <is>
          <t>COMISION</t>
        </is>
      </c>
    </row>
    <row r="566">
      <c r="A566" s="26" t="n">
        <v>46111</v>
      </c>
      <c r="B566" s="17" t="inlineStr">
        <is>
          <t>Iva 21% reg de transfisc ley27743</t>
        </is>
      </c>
      <c r="C566" s="18" t="n">
        <v>311.85</v>
      </c>
      <c r="D566" s="17" t="n"/>
      <c r="E566" s="17" t="inlineStr"/>
      <c r="F566" s="17" t="inlineStr">
        <is>
          <t>IVA</t>
        </is>
      </c>
    </row>
    <row r="567">
      <c r="A567" s="26" t="n">
        <v>46111</v>
      </c>
      <c r="B567" s="17" t="inlineStr">
        <is>
          <t>Comision transf otros bcos canales</t>
        </is>
      </c>
      <c r="C567" s="18" t="n">
        <v>1485</v>
      </c>
      <c r="D567" s="17" t="n"/>
      <c r="E567" s="17" t="inlineStr">
        <is>
          <t xml:space="preserve"> Comision transferencias</t>
        </is>
      </c>
      <c r="F567" s="17" t="inlineStr">
        <is>
          <t>COMISION</t>
        </is>
      </c>
    </row>
    <row r="568">
      <c r="A568" s="26" t="n">
        <v>46111</v>
      </c>
      <c r="B568" s="17" t="inlineStr">
        <is>
          <t>Iva 21% reg de transfisc ley27743</t>
        </is>
      </c>
      <c r="C568" s="18" t="n">
        <v>311.85</v>
      </c>
      <c r="D568" s="17" t="n"/>
      <c r="E568" s="17" t="inlineStr"/>
      <c r="F568" s="17" t="inlineStr">
        <is>
          <t>IVA</t>
        </is>
      </c>
    </row>
    <row r="569">
      <c r="A569" s="26" t="n">
        <v>46111</v>
      </c>
      <c r="B569" s="17" t="inlineStr">
        <is>
          <t>Adelanto iibb tuc letra h</t>
        </is>
      </c>
      <c r="C569" s="18" t="n">
        <v>1958.8</v>
      </c>
      <c r="D569" s="17" t="n"/>
      <c r="E569" s="17" t="inlineStr">
        <is>
          <t xml:space="preserve"> Resp:30626629942 / 0,12% sobre</t>
        </is>
      </c>
      <c r="F569" s="17" t="inlineStr">
        <is>
          <t>RET_IIBB_TUCUMAN</t>
        </is>
      </c>
    </row>
    <row r="570">
      <c r="A570" s="26" t="n">
        <v>46111</v>
      </c>
      <c r="B570" s="17" t="inlineStr">
        <is>
          <t>Regimen de recaudacion sircreb n</t>
        </is>
      </c>
      <c r="C570" s="18" t="n">
        <v>39976.92</v>
      </c>
      <c r="D570" s="17" t="n"/>
      <c r="E570" s="17" t="inlineStr">
        <is>
          <t xml:space="preserve"> Resp:30626629942 / 1,20% sobre</t>
        </is>
      </c>
      <c r="F570" s="17" t="inlineStr">
        <is>
          <t>RET_SIRCREB</t>
        </is>
      </c>
    </row>
    <row r="571">
      <c r="A571" s="26" t="n">
        <v>46112</v>
      </c>
      <c r="B571" s="17" t="inlineStr">
        <is>
          <t>Pago comercios getnet nro.liq.</t>
        </is>
      </c>
      <c r="C571" s="17" t="n"/>
      <c r="D571" s="18" t="n">
        <v>257875.59</v>
      </c>
      <c r="E571" s="17" t="inlineStr">
        <is>
          <t xml:space="preserve"> 00003979/000000000008581</t>
        </is>
      </c>
      <c r="F571" s="17" t="inlineStr">
        <is>
          <t>OTRO</t>
        </is>
      </c>
    </row>
    <row r="572">
      <c r="A572" s="26" t="n">
        <v>46112</v>
      </c>
      <c r="B572" s="17" t="inlineStr">
        <is>
          <t>Pago comercios getnet nro.liq.</t>
        </is>
      </c>
      <c r="C572" s="17" t="n"/>
      <c r="D572" s="18" t="n">
        <v>89991.03</v>
      </c>
      <c r="E572" s="17" t="inlineStr">
        <is>
          <t xml:space="preserve"> 00006588/000000000008581</t>
        </is>
      </c>
      <c r="F572" s="17" t="inlineStr">
        <is>
          <t>OTRO</t>
        </is>
      </c>
    </row>
    <row r="573">
      <c r="A573" s="26" t="n">
        <v>46112</v>
      </c>
      <c r="B573" s="17" t="inlineStr">
        <is>
          <t>Transf recibida cvu mismo titular</t>
        </is>
      </c>
      <c r="C573" s="17" t="n"/>
      <c r="D573" s="18" t="n">
        <v>1000000</v>
      </c>
      <c r="E573" s="17" t="inlineStr">
        <is>
          <t xml:space="preserve"> De instrumental pasteur s r / mercado pago /30626629942</t>
        </is>
      </c>
      <c r="F573" s="17" t="inlineStr">
        <is>
          <t>OTRO</t>
        </is>
      </c>
    </row>
    <row r="574">
      <c r="A574" s="26" t="n">
        <v>46112</v>
      </c>
      <c r="B574" s="17" t="inlineStr">
        <is>
          <t>Pago a proveedores recibido</t>
        </is>
      </c>
      <c r="C574" s="17" t="n"/>
      <c r="D574" s="18" t="n">
        <v>1691644.5</v>
      </c>
      <c r="E574" s="17" t="inlineStr">
        <is>
          <t xml:space="preserve"> Colegio san jose-inst.sagrada 30545542494 03 1109629</t>
        </is>
      </c>
      <c r="F574" s="17" t="inlineStr">
        <is>
          <t>OTRO</t>
        </is>
      </c>
    </row>
    <row r="575">
      <c r="A575" s="26" t="n">
        <v>46112</v>
      </c>
      <c r="B575" s="17" t="inlineStr">
        <is>
          <t>Transferencia realizada</t>
        </is>
      </c>
      <c r="C575" s="18" t="n">
        <v>72600</v>
      </c>
      <c r="D575" s="17" t="n"/>
      <c r="E575" s="17" t="inlineStr">
        <is>
          <t xml:space="preserve"> A entre srl / factura - fac / 30556408390</t>
        </is>
      </c>
      <c r="F575" s="17" t="inlineStr">
        <is>
          <t>OTRO</t>
        </is>
      </c>
    </row>
    <row r="576">
      <c r="A576" s="26" t="n">
        <v>46112</v>
      </c>
      <c r="B576" s="17" t="inlineStr">
        <is>
          <t>Transferencia realizada</t>
        </is>
      </c>
      <c r="C576" s="18" t="n">
        <v>324270</v>
      </c>
      <c r="D576" s="17" t="n"/>
      <c r="E576" s="17" t="inlineStr">
        <is>
          <t xml:space="preserve"> A elementi s a / factura - fac / 30682619739</t>
        </is>
      </c>
      <c r="F576" s="17" t="inlineStr">
        <is>
          <t>OTRO</t>
        </is>
      </c>
    </row>
    <row r="577">
      <c r="A577" s="26" t="n">
        <v>46112</v>
      </c>
      <c r="B577" s="17" t="inlineStr">
        <is>
          <t>Transferencia realizada</t>
        </is>
      </c>
      <c r="C577" s="18" t="n">
        <v>27818.64</v>
      </c>
      <c r="D577" s="17" t="n"/>
      <c r="E577" s="17" t="inlineStr">
        <is>
          <t xml:space="preserve"> A nuàez gustavo david / factura - fac / 20253144956</t>
        </is>
      </c>
      <c r="F577" s="17" t="inlineStr">
        <is>
          <t>OTRO</t>
        </is>
      </c>
    </row>
    <row r="578">
      <c r="A578" s="26" t="n">
        <v>46112</v>
      </c>
      <c r="B578" s="17" t="inlineStr">
        <is>
          <t>Transferencia realizada</t>
        </is>
      </c>
      <c r="C578" s="18" t="n">
        <v>1395879.99</v>
      </c>
      <c r="D578" s="17" t="n"/>
      <c r="E578" s="17" t="inlineStr">
        <is>
          <t xml:space="preserve"> A lewin,damian ezequiel / factura - fac / 23351613149</t>
        </is>
      </c>
      <c r="F578" s="17" t="inlineStr">
        <is>
          <t>OTRO</t>
        </is>
      </c>
    </row>
    <row r="579">
      <c r="A579" s="26" t="n">
        <v>46112</v>
      </c>
      <c r="B579" s="17" t="inlineStr">
        <is>
          <t>Transferencia realizada</t>
        </is>
      </c>
      <c r="C579" s="18" t="n">
        <v>243090.94</v>
      </c>
      <c r="D579" s="17" t="n"/>
      <c r="E579" s="17" t="inlineStr">
        <is>
          <t xml:space="preserve"> A agile systems sa / factura - fac / 30712048685</t>
        </is>
      </c>
      <c r="F579" s="17" t="inlineStr">
        <is>
          <t>OTRO</t>
        </is>
      </c>
    </row>
    <row r="580">
      <c r="A580" s="26" t="n">
        <v>46112</v>
      </c>
      <c r="B580" s="17" t="inlineStr">
        <is>
          <t>Transferencia realizada</t>
        </is>
      </c>
      <c r="C580" s="18" t="n">
        <v>1205540.25</v>
      </c>
      <c r="D580" s="17" t="n"/>
      <c r="E580" s="17" t="inlineStr">
        <is>
          <t xml:space="preserve"> A inpack alimenticia sa / varios - var / 30707082298</t>
        </is>
      </c>
      <c r="F580" s="17" t="inlineStr">
        <is>
          <t>OTRO</t>
        </is>
      </c>
    </row>
    <row r="581">
      <c r="A581" s="26" t="n">
        <v>46112</v>
      </c>
      <c r="B581" s="17" t="inlineStr">
        <is>
          <t>Debito transf. online banking emp</t>
        </is>
      </c>
      <c r="C581" s="18" t="n">
        <v>440846.7</v>
      </c>
      <c r="D581" s="17" t="n"/>
      <c r="E581" s="17" t="inlineStr">
        <is>
          <t xml:space="preserve"> A nancy noemi franco vill / varios - var / 27287732029</t>
        </is>
      </c>
      <c r="F581" s="17" t="inlineStr">
        <is>
          <t>OTRO</t>
        </is>
      </c>
    </row>
    <row r="582">
      <c r="A582" s="26" t="n">
        <v>46112</v>
      </c>
      <c r="B582" s="17" t="inlineStr">
        <is>
          <t>Transferencia realizada</t>
        </is>
      </c>
      <c r="C582" s="18" t="n">
        <v>433903.21</v>
      </c>
      <c r="D582" s="17" t="n"/>
      <c r="E582" s="17" t="inlineStr">
        <is>
          <t xml:space="preserve"> A distribuidora ejad srl / factura - fac / 30715150359</t>
        </is>
      </c>
      <c r="F582" s="17" t="inlineStr">
        <is>
          <t>OTRO</t>
        </is>
      </c>
    </row>
    <row r="583">
      <c r="A583" s="26" t="n">
        <v>46112</v>
      </c>
      <c r="B583" s="17" t="inlineStr">
        <is>
          <t>Transferencia recibida</t>
        </is>
      </c>
      <c r="C583" s="17" t="n"/>
      <c r="D583" s="18" t="n">
        <v>324739.8</v>
      </c>
      <c r="E583" s="17" t="inlineStr">
        <is>
          <t xml:space="preserve"> De madariaga/javier / 0029191366 - var / 20291913661</t>
        </is>
      </c>
      <c r="F583" s="17" t="inlineStr">
        <is>
          <t>OTRO</t>
        </is>
      </c>
    </row>
    <row r="584">
      <c r="A584" s="26" t="n">
        <v>46112</v>
      </c>
      <c r="B584" s="17" t="inlineStr">
        <is>
          <t>Pago a proveedores recibido</t>
        </is>
      </c>
      <c r="C584" s="17" t="n"/>
      <c r="D584" s="18" t="n">
        <v>508388.4</v>
      </c>
      <c r="E584" s="17" t="inlineStr">
        <is>
          <t xml:space="preserve"> Yawar sa 30718189221 03 3078355</t>
        </is>
      </c>
      <c r="F584" s="17" t="inlineStr">
        <is>
          <t>OTRO</t>
        </is>
      </c>
    </row>
    <row r="585">
      <c r="A585" s="26" t="n">
        <v>46112</v>
      </c>
      <c r="B585" s="17" t="inlineStr">
        <is>
          <t>Pago a proveedores recibido</t>
        </is>
      </c>
      <c r="C585" s="17" t="n"/>
      <c r="D585" s="18" t="n">
        <v>568430.8</v>
      </c>
      <c r="E585" s="17" t="inlineStr">
        <is>
          <t xml:space="preserve"> Analen s r l 30663024120 03 3087006</t>
        </is>
      </c>
      <c r="F585" s="17" t="inlineStr">
        <is>
          <t>OTRO</t>
        </is>
      </c>
    </row>
    <row r="586">
      <c r="A586" s="26" t="n">
        <v>46112</v>
      </c>
      <c r="B586" s="17" t="inlineStr">
        <is>
          <t>Pago a proveedores recibido</t>
        </is>
      </c>
      <c r="C586" s="17" t="n"/>
      <c r="D586" s="18" t="n">
        <v>388985.6</v>
      </c>
      <c r="E586" s="17" t="inlineStr">
        <is>
          <t xml:space="preserve"> Syntex s.a. 30501282444 03 8689344</t>
        </is>
      </c>
      <c r="F586" s="17" t="inlineStr">
        <is>
          <t>OTRO</t>
        </is>
      </c>
    </row>
    <row r="587">
      <c r="A587" s="26" t="n">
        <v>46112</v>
      </c>
      <c r="B587" s="17" t="inlineStr">
        <is>
          <t>Pago a proveedores recibido</t>
        </is>
      </c>
      <c r="C587" s="17" t="n"/>
      <c r="D587" s="18" t="n">
        <v>1647720.94</v>
      </c>
      <c r="E587" s="17" t="inlineStr">
        <is>
          <t xml:space="preserve"> Jose fortunato levy 20103771367 03 0311012</t>
        </is>
      </c>
      <c r="F587" s="17" t="inlineStr">
        <is>
          <t>OTRO</t>
        </is>
      </c>
    </row>
    <row r="588">
      <c r="A588" s="26" t="n">
        <v>46112</v>
      </c>
      <c r="B588" s="17" t="inlineStr">
        <is>
          <t>Transf recibida cvu mismo titular</t>
        </is>
      </c>
      <c r="C588" s="17" t="n"/>
      <c r="D588" s="18" t="n">
        <v>2000000</v>
      </c>
      <c r="E588" s="17" t="inlineStr">
        <is>
          <t xml:space="preserve"> De instrumental pasteur s r / mercado pago /30626629942</t>
        </is>
      </c>
      <c r="F588" s="17" t="inlineStr">
        <is>
          <t>OTRO</t>
        </is>
      </c>
    </row>
    <row r="589">
      <c r="A589" s="26" t="n">
        <v>46112</v>
      </c>
      <c r="B589" s="17" t="inlineStr">
        <is>
          <t>Transferencia realizada</t>
        </is>
      </c>
      <c r="C589" s="18" t="n">
        <v>1175992</v>
      </c>
      <c r="D589" s="17" t="n"/>
      <c r="E589" s="17" t="inlineStr">
        <is>
          <t xml:space="preserve"> A lett comercial sa / varios - var / 30716267357</t>
        </is>
      </c>
      <c r="F589" s="17" t="inlineStr">
        <is>
          <t>OTRO</t>
        </is>
      </c>
    </row>
    <row r="590">
      <c r="A590" s="26" t="n">
        <v>46112</v>
      </c>
      <c r="B590" s="17" t="inlineStr">
        <is>
          <t>Transferencia realizada</t>
        </is>
      </c>
      <c r="C590" s="18" t="n">
        <v>1113200</v>
      </c>
      <c r="D590" s="17" t="n"/>
      <c r="E590" s="17" t="inlineStr">
        <is>
          <t xml:space="preserve"> A vitali, agustin / factura - fac / 20317527501</t>
        </is>
      </c>
      <c r="F590" s="17" t="inlineStr">
        <is>
          <t>OTRO</t>
        </is>
      </c>
    </row>
    <row r="591">
      <c r="A591" s="26" t="n">
        <v>46112</v>
      </c>
      <c r="B591" s="17" t="inlineStr">
        <is>
          <t>Suscripcion fondos comunes invers</t>
        </is>
      </c>
      <c r="C591" s="17" t="n"/>
      <c r="D591" s="18" t="n">
        <v>10000000</v>
      </c>
      <c r="E591" s="17" t="inlineStr">
        <is>
          <t xml:space="preserve"> Inversion en fondo super ahorro</t>
        </is>
      </c>
      <c r="F591" s="17" t="inlineStr">
        <is>
          <t>OTRO</t>
        </is>
      </c>
    </row>
    <row r="592">
      <c r="A592" s="26" t="n">
        <v>46112</v>
      </c>
      <c r="B592" s="17" t="inlineStr">
        <is>
          <t>Rescate fondos comunes inversion</t>
        </is>
      </c>
      <c r="C592" s="17" t="n"/>
      <c r="D592" s="18" t="n">
        <v>64999999.99</v>
      </c>
      <c r="E592" s="17" t="inlineStr"/>
      <c r="F592" s="17" t="inlineStr">
        <is>
          <t>OTRO</t>
        </is>
      </c>
    </row>
    <row r="593">
      <c r="A593" s="26" t="n">
        <v>46112</v>
      </c>
      <c r="B593" s="17" t="inlineStr">
        <is>
          <t>Deposito echeq canje interno 24hs</t>
        </is>
      </c>
      <c r="C593" s="17" t="n"/>
      <c r="D593" s="18" t="n">
        <v>556855.23</v>
      </c>
      <c r="E593" s="17" t="inlineStr"/>
      <c r="F593" s="17" t="inlineStr">
        <is>
          <t>OTRO</t>
        </is>
      </c>
    </row>
    <row r="594">
      <c r="A594" s="26" t="n">
        <v>46112</v>
      </c>
      <c r="B594" s="17" t="inlineStr">
        <is>
          <t>Pago haberes</t>
        </is>
      </c>
      <c r="C594" s="18" t="n">
        <v>1549785</v>
      </c>
      <c r="D594" s="17" t="n"/>
      <c r="E594" s="17" t="inlineStr">
        <is>
          <t xml:space="preserve"> 2603315072</t>
        </is>
      </c>
      <c r="F594" s="17" t="inlineStr">
        <is>
          <t>OTRO</t>
        </is>
      </c>
    </row>
    <row r="595">
      <c r="A595" s="26" t="n">
        <v>46112</v>
      </c>
      <c r="B595" s="17" t="inlineStr">
        <is>
          <t>Pago haberes</t>
        </is>
      </c>
      <c r="C595" s="18" t="n">
        <v>2450000</v>
      </c>
      <c r="D595" s="17" t="n"/>
      <c r="E595" s="17" t="inlineStr">
        <is>
          <t xml:space="preserve"> 2603315072</t>
        </is>
      </c>
      <c r="F595" s="17" t="inlineStr">
        <is>
          <t>OTRO</t>
        </is>
      </c>
    </row>
    <row r="596">
      <c r="A596" s="26" t="n">
        <v>46112</v>
      </c>
      <c r="B596" s="17" t="inlineStr">
        <is>
          <t>Pago haberes</t>
        </is>
      </c>
      <c r="C596" s="18" t="n">
        <v>1500000</v>
      </c>
      <c r="D596" s="17" t="n"/>
      <c r="E596" s="17" t="inlineStr">
        <is>
          <t xml:space="preserve"> 2603315072</t>
        </is>
      </c>
      <c r="F596" s="17" t="inlineStr">
        <is>
          <t>OTRO</t>
        </is>
      </c>
    </row>
    <row r="597">
      <c r="A597" s="26" t="n">
        <v>46112</v>
      </c>
      <c r="B597" s="17" t="inlineStr">
        <is>
          <t>Pago haberes</t>
        </is>
      </c>
      <c r="C597" s="18" t="n">
        <v>1209582</v>
      </c>
      <c r="D597" s="17" t="n"/>
      <c r="E597" s="17" t="inlineStr">
        <is>
          <t xml:space="preserve"> 2603315072</t>
        </is>
      </c>
      <c r="F597" s="17" t="inlineStr">
        <is>
          <t>OTRO</t>
        </is>
      </c>
    </row>
    <row r="598">
      <c r="A598" s="26" t="n">
        <v>46112</v>
      </c>
      <c r="B598" s="17" t="inlineStr">
        <is>
          <t>Pago haberes</t>
        </is>
      </c>
      <c r="C598" s="18" t="n">
        <v>1396670</v>
      </c>
      <c r="D598" s="17" t="n"/>
      <c r="E598" s="17" t="inlineStr">
        <is>
          <t xml:space="preserve"> 2603315072</t>
        </is>
      </c>
      <c r="F598" s="17" t="inlineStr">
        <is>
          <t>OTRO</t>
        </is>
      </c>
    </row>
    <row r="599">
      <c r="A599" s="26" t="n">
        <v>46112</v>
      </c>
      <c r="B599" s="17" t="inlineStr">
        <is>
          <t>Pago haberes</t>
        </is>
      </c>
      <c r="C599" s="18" t="n">
        <v>1138576</v>
      </c>
      <c r="D599" s="17" t="n"/>
      <c r="E599" s="17" t="inlineStr">
        <is>
          <t xml:space="preserve"> 2603315072</t>
        </is>
      </c>
      <c r="F599" s="17" t="inlineStr">
        <is>
          <t>OTRO</t>
        </is>
      </c>
    </row>
    <row r="600">
      <c r="A600" s="26" t="n">
        <v>46112</v>
      </c>
      <c r="B600" s="17" t="inlineStr">
        <is>
          <t>Pago haberes</t>
        </is>
      </c>
      <c r="C600" s="18" t="n">
        <v>2502157</v>
      </c>
      <c r="D600" s="17" t="n"/>
      <c r="E600" s="17" t="inlineStr">
        <is>
          <t xml:space="preserve"> 2603315072</t>
        </is>
      </c>
      <c r="F600" s="17" t="inlineStr">
        <is>
          <t>OTRO</t>
        </is>
      </c>
    </row>
    <row r="601">
      <c r="A601" s="26" t="n">
        <v>46112</v>
      </c>
      <c r="B601" s="17" t="inlineStr">
        <is>
          <t>Pago haberes</t>
        </is>
      </c>
      <c r="C601" s="18" t="n">
        <v>1409610</v>
      </c>
      <c r="D601" s="17" t="n"/>
      <c r="E601" s="17" t="inlineStr">
        <is>
          <t xml:space="preserve"> 2603315072</t>
        </is>
      </c>
      <c r="F601" s="17" t="inlineStr">
        <is>
          <t>OTRO</t>
        </is>
      </c>
    </row>
    <row r="602">
      <c r="A602" s="26" t="n">
        <v>46112</v>
      </c>
      <c r="B602" s="17" t="inlineStr">
        <is>
          <t>Pago haberes</t>
        </is>
      </c>
      <c r="C602" s="18" t="n">
        <v>932782</v>
      </c>
      <c r="D602" s="17" t="n"/>
      <c r="E602" s="17" t="inlineStr">
        <is>
          <t xml:space="preserve"> 2603315072</t>
        </is>
      </c>
      <c r="F602" s="17" t="inlineStr">
        <is>
          <t>OTRO</t>
        </is>
      </c>
    </row>
    <row r="603">
      <c r="A603" s="26" t="n">
        <v>46112</v>
      </c>
      <c r="B603" s="17" t="inlineStr">
        <is>
          <t>Pago haberes</t>
        </is>
      </c>
      <c r="C603" s="18" t="n">
        <v>2500000</v>
      </c>
      <c r="D603" s="17" t="n"/>
      <c r="E603" s="17" t="inlineStr">
        <is>
          <t xml:space="preserve"> 2603315072</t>
        </is>
      </c>
      <c r="F603" s="17" t="inlineStr">
        <is>
          <t>OTRO</t>
        </is>
      </c>
    </row>
    <row r="604">
      <c r="A604" s="26" t="n">
        <v>46112</v>
      </c>
      <c r="B604" s="17" t="inlineStr">
        <is>
          <t>Pago haberes</t>
        </is>
      </c>
      <c r="C604" s="18" t="n">
        <v>1559691</v>
      </c>
      <c r="D604" s="17" t="n"/>
      <c r="E604" s="17" t="inlineStr">
        <is>
          <t xml:space="preserve"> 2603315072</t>
        </is>
      </c>
      <c r="F604" s="17" t="inlineStr">
        <is>
          <t>OTRO</t>
        </is>
      </c>
    </row>
    <row r="605">
      <c r="A605" s="26" t="n">
        <v>46112</v>
      </c>
      <c r="B605" s="17" t="inlineStr">
        <is>
          <t>Pago haberes</t>
        </is>
      </c>
      <c r="C605" s="18" t="n">
        <v>1558338</v>
      </c>
      <c r="D605" s="17" t="n"/>
      <c r="E605" s="17" t="inlineStr">
        <is>
          <t xml:space="preserve"> 2603315072</t>
        </is>
      </c>
      <c r="F605" s="17" t="inlineStr">
        <is>
          <t>OTRO</t>
        </is>
      </c>
    </row>
    <row r="606">
      <c r="A606" s="26" t="n">
        <v>46112</v>
      </c>
      <c r="B606" s="17" t="inlineStr">
        <is>
          <t>Pago haberes</t>
        </is>
      </c>
      <c r="C606" s="18" t="n">
        <v>1358204</v>
      </c>
      <c r="D606" s="17" t="n"/>
      <c r="E606" s="17" t="inlineStr">
        <is>
          <t xml:space="preserve"> 2603315072</t>
        </is>
      </c>
      <c r="F606" s="17" t="inlineStr">
        <is>
          <t>OTRO</t>
        </is>
      </c>
    </row>
    <row r="607">
      <c r="A607" s="26" t="n">
        <v>46112</v>
      </c>
      <c r="B607" s="17" t="inlineStr">
        <is>
          <t>Pago haberes</t>
        </is>
      </c>
      <c r="C607" s="18" t="n">
        <v>1550633</v>
      </c>
      <c r="D607" s="17" t="n"/>
      <c r="E607" s="17" t="inlineStr">
        <is>
          <t xml:space="preserve"> 2603315072</t>
        </is>
      </c>
      <c r="F607" s="17" t="inlineStr">
        <is>
          <t>OTRO</t>
        </is>
      </c>
    </row>
    <row r="608">
      <c r="A608" s="26" t="n">
        <v>46112</v>
      </c>
      <c r="B608" s="17" t="inlineStr">
        <is>
          <t>Pago haberes</t>
        </is>
      </c>
      <c r="C608" s="18" t="n">
        <v>2114000</v>
      </c>
      <c r="D608" s="17" t="n"/>
      <c r="E608" s="17" t="inlineStr">
        <is>
          <t xml:space="preserve"> 2603315072</t>
        </is>
      </c>
      <c r="F608" s="17" t="inlineStr">
        <is>
          <t>OTRO</t>
        </is>
      </c>
    </row>
    <row r="609">
      <c r="A609" s="26" t="n">
        <v>46112</v>
      </c>
      <c r="B609" s="17" t="inlineStr">
        <is>
          <t>Pago haberes</t>
        </is>
      </c>
      <c r="C609" s="18" t="n">
        <v>1500000</v>
      </c>
      <c r="D609" s="17" t="n"/>
      <c r="E609" s="17" t="inlineStr">
        <is>
          <t xml:space="preserve"> 2603315072</t>
        </is>
      </c>
      <c r="F609" s="17" t="inlineStr">
        <is>
          <t>OTRO</t>
        </is>
      </c>
    </row>
    <row r="610">
      <c r="A610" s="26" t="n">
        <v>46112</v>
      </c>
      <c r="B610" s="17" t="inlineStr">
        <is>
          <t>Pago haberes</t>
        </is>
      </c>
      <c r="C610" s="18" t="n">
        <v>1422877</v>
      </c>
      <c r="D610" s="17" t="n"/>
      <c r="E610" s="17" t="inlineStr">
        <is>
          <t xml:space="preserve"> 2603315072</t>
        </is>
      </c>
      <c r="F610" s="17" t="inlineStr">
        <is>
          <t>OTRO</t>
        </is>
      </c>
    </row>
    <row r="611">
      <c r="A611" s="26" t="n">
        <v>46112</v>
      </c>
      <c r="B611" s="17" t="inlineStr">
        <is>
          <t>Pago haberes</t>
        </is>
      </c>
      <c r="C611" s="18" t="n">
        <v>2035977</v>
      </c>
      <c r="D611" s="17" t="n"/>
      <c r="E611" s="17" t="inlineStr">
        <is>
          <t xml:space="preserve"> 2603315072</t>
        </is>
      </c>
      <c r="F611" s="17" t="inlineStr">
        <is>
          <t>OTRO</t>
        </is>
      </c>
    </row>
    <row r="612">
      <c r="A612" s="26" t="n">
        <v>46112</v>
      </c>
      <c r="B612" s="17" t="inlineStr">
        <is>
          <t>Pago haberes</t>
        </is>
      </c>
      <c r="C612" s="18" t="n">
        <v>1412040</v>
      </c>
      <c r="D612" s="17" t="n"/>
      <c r="E612" s="17" t="inlineStr">
        <is>
          <t xml:space="preserve"> 2603315072</t>
        </is>
      </c>
      <c r="F612" s="17" t="inlineStr">
        <is>
          <t>OTRO</t>
        </is>
      </c>
    </row>
    <row r="613">
      <c r="A613" s="26" t="n">
        <v>46112</v>
      </c>
      <c r="B613" s="17" t="inlineStr">
        <is>
          <t>Pago haberes</t>
        </is>
      </c>
      <c r="C613" s="18" t="n">
        <v>1711438</v>
      </c>
      <c r="D613" s="17" t="n"/>
      <c r="E613" s="17" t="inlineStr">
        <is>
          <t xml:space="preserve"> 2603315072</t>
        </is>
      </c>
      <c r="F613" s="17" t="inlineStr">
        <is>
          <t>OTRO</t>
        </is>
      </c>
    </row>
    <row r="614">
      <c r="A614" s="26" t="n">
        <v>46112</v>
      </c>
      <c r="B614" s="17" t="inlineStr">
        <is>
          <t>Pago haberes</t>
        </is>
      </c>
      <c r="C614" s="18" t="n">
        <v>2500000</v>
      </c>
      <c r="D614" s="17" t="n"/>
      <c r="E614" s="17" t="inlineStr">
        <is>
          <t xml:space="preserve"> 2603315072</t>
        </is>
      </c>
      <c r="F614" s="17" t="inlineStr">
        <is>
          <t>OTRO</t>
        </is>
      </c>
    </row>
    <row r="615">
      <c r="A615" s="26" t="n">
        <v>46112</v>
      </c>
      <c r="B615" s="17" t="inlineStr">
        <is>
          <t>Pago haberes</t>
        </is>
      </c>
      <c r="C615" s="18" t="n">
        <v>1373064</v>
      </c>
      <c r="D615" s="17" t="n"/>
      <c r="E615" s="17" t="inlineStr">
        <is>
          <t xml:space="preserve"> 2603315072</t>
        </is>
      </c>
      <c r="F615" s="17" t="inlineStr">
        <is>
          <t>OTRO</t>
        </is>
      </c>
    </row>
    <row r="616">
      <c r="A616" s="26" t="n">
        <v>46112</v>
      </c>
      <c r="B616" s="17" t="inlineStr">
        <is>
          <t>Pago haberes</t>
        </is>
      </c>
      <c r="C616" s="18" t="n">
        <v>1489589</v>
      </c>
      <c r="D616" s="17" t="n"/>
      <c r="E616" s="17" t="inlineStr">
        <is>
          <t xml:space="preserve"> 2603315072</t>
        </is>
      </c>
      <c r="F616" s="17" t="inlineStr">
        <is>
          <t>OTRO</t>
        </is>
      </c>
    </row>
    <row r="617">
      <c r="A617" s="26" t="n">
        <v>46112</v>
      </c>
      <c r="B617" s="17" t="inlineStr">
        <is>
          <t>Pago haberes</t>
        </is>
      </c>
      <c r="C617" s="18" t="n">
        <v>1518181</v>
      </c>
      <c r="D617" s="17" t="n"/>
      <c r="E617" s="17" t="inlineStr">
        <is>
          <t xml:space="preserve"> 2603315072</t>
        </is>
      </c>
      <c r="F617" s="17" t="inlineStr">
        <is>
          <t>OTRO</t>
        </is>
      </c>
    </row>
    <row r="618">
      <c r="A618" s="26" t="n">
        <v>46112</v>
      </c>
      <c r="B618" s="17" t="inlineStr">
        <is>
          <t>Pago haberes</t>
        </is>
      </c>
      <c r="C618" s="18" t="n">
        <v>2000000</v>
      </c>
      <c r="D618" s="17" t="n"/>
      <c r="E618" s="17" t="inlineStr">
        <is>
          <t xml:space="preserve"> 2603315072</t>
        </is>
      </c>
      <c r="F618" s="17" t="inlineStr">
        <is>
          <t>OTRO</t>
        </is>
      </c>
    </row>
    <row r="619">
      <c r="A619" s="26" t="n">
        <v>46112</v>
      </c>
      <c r="B619" s="17" t="inlineStr">
        <is>
          <t>Pago haberes</t>
        </is>
      </c>
      <c r="C619" s="18" t="n">
        <v>291284</v>
      </c>
      <c r="D619" s="17" t="n"/>
      <c r="E619" s="17" t="inlineStr">
        <is>
          <t xml:space="preserve"> 2603315072</t>
        </is>
      </c>
      <c r="F619" s="17" t="inlineStr">
        <is>
          <t>OTRO</t>
        </is>
      </c>
    </row>
    <row r="620">
      <c r="A620" s="26" t="n">
        <v>46112</v>
      </c>
      <c r="B620" s="17" t="inlineStr">
        <is>
          <t>Pago haberes</t>
        </is>
      </c>
      <c r="C620" s="18" t="n">
        <v>1500000</v>
      </c>
      <c r="D620" s="17" t="n"/>
      <c r="E620" s="17" t="inlineStr">
        <is>
          <t xml:space="preserve"> 2603315072</t>
        </is>
      </c>
      <c r="F620" s="17" t="inlineStr">
        <is>
          <t>OTRO</t>
        </is>
      </c>
    </row>
    <row r="621">
      <c r="A621" s="26" t="n">
        <v>46112</v>
      </c>
      <c r="B621" s="17" t="inlineStr">
        <is>
          <t>Pago haberes</t>
        </is>
      </c>
      <c r="C621" s="18" t="n">
        <v>1028643</v>
      </c>
      <c r="D621" s="17" t="n"/>
      <c r="E621" s="17" t="inlineStr">
        <is>
          <t xml:space="preserve"> 2603315072</t>
        </is>
      </c>
      <c r="F621" s="17" t="inlineStr">
        <is>
          <t>OTRO</t>
        </is>
      </c>
    </row>
    <row r="622">
      <c r="A622" s="26" t="n">
        <v>46112</v>
      </c>
      <c r="B622" s="17" t="inlineStr">
        <is>
          <t>Pago haberes</t>
        </is>
      </c>
      <c r="C622" s="18" t="n">
        <v>1167855</v>
      </c>
      <c r="D622" s="17" t="n"/>
      <c r="E622" s="17" t="inlineStr">
        <is>
          <t xml:space="preserve"> 2603315072</t>
        </is>
      </c>
      <c r="F622" s="17" t="inlineStr">
        <is>
          <t>OTRO</t>
        </is>
      </c>
    </row>
    <row r="623">
      <c r="A623" s="26" t="n">
        <v>46112</v>
      </c>
      <c r="B623" s="17" t="inlineStr">
        <is>
          <t>Pago haberes</t>
        </is>
      </c>
      <c r="C623" s="18" t="n">
        <v>1219443</v>
      </c>
      <c r="D623" s="17" t="n"/>
      <c r="E623" s="17" t="inlineStr">
        <is>
          <t xml:space="preserve"> 2603315072</t>
        </is>
      </c>
      <c r="F623" s="17" t="inlineStr">
        <is>
          <t>OTRO</t>
        </is>
      </c>
    </row>
    <row r="624">
      <c r="A624" s="26" t="n">
        <v>46112</v>
      </c>
      <c r="B624" s="17" t="inlineStr">
        <is>
          <t>Pago haberes</t>
        </is>
      </c>
      <c r="C624" s="18" t="n">
        <v>1422877</v>
      </c>
      <c r="D624" s="17" t="n"/>
      <c r="E624" s="17" t="inlineStr">
        <is>
          <t xml:space="preserve"> 2603315072</t>
        </is>
      </c>
      <c r="F624" s="17" t="inlineStr">
        <is>
          <t>OTRO</t>
        </is>
      </c>
    </row>
    <row r="625">
      <c r="A625" s="26" t="n">
        <v>46112</v>
      </c>
      <c r="B625" s="17" t="inlineStr">
        <is>
          <t>Pago haberes</t>
        </is>
      </c>
      <c r="C625" s="18" t="n">
        <v>1432964</v>
      </c>
      <c r="D625" s="17" t="n"/>
      <c r="E625" s="17" t="inlineStr">
        <is>
          <t xml:space="preserve"> 2603315072</t>
        </is>
      </c>
      <c r="F625" s="17" t="inlineStr">
        <is>
          <t>OTRO</t>
        </is>
      </c>
    </row>
    <row r="626">
      <c r="A626" s="26" t="n">
        <v>46112</v>
      </c>
      <c r="B626" s="17" t="inlineStr">
        <is>
          <t>Pago haberes</t>
        </is>
      </c>
      <c r="C626" s="18" t="n">
        <v>1432336</v>
      </c>
      <c r="D626" s="17" t="n"/>
      <c r="E626" s="17" t="inlineStr">
        <is>
          <t xml:space="preserve"> 2603315072</t>
        </is>
      </c>
      <c r="F626" s="17" t="inlineStr">
        <is>
          <t>OTRO</t>
        </is>
      </c>
    </row>
    <row r="627">
      <c r="A627" s="26" t="n">
        <v>46112</v>
      </c>
      <c r="B627" s="17" t="inlineStr">
        <is>
          <t>Pago de honorarios</t>
        </is>
      </c>
      <c r="C627" s="18" t="n">
        <v>2000000</v>
      </c>
      <c r="D627" s="17" t="n"/>
      <c r="E627" s="17" t="inlineStr">
        <is>
          <t xml:space="preserve"> 2603315072</t>
        </is>
      </c>
      <c r="F627" s="17" t="inlineStr">
        <is>
          <t>HABERES</t>
        </is>
      </c>
    </row>
    <row r="628">
      <c r="A628" s="26" t="n">
        <v>46112</v>
      </c>
      <c r="B628" s="17" t="inlineStr">
        <is>
          <t>Pago de honorarios</t>
        </is>
      </c>
      <c r="C628" s="18" t="n">
        <v>2460000</v>
      </c>
      <c r="D628" s="17" t="n"/>
      <c r="E628" s="17" t="inlineStr">
        <is>
          <t xml:space="preserve"> 2603315072</t>
        </is>
      </c>
      <c r="F628" s="17" t="inlineStr">
        <is>
          <t>HABERES</t>
        </is>
      </c>
    </row>
    <row r="629">
      <c r="A629" s="26" t="n">
        <v>46112</v>
      </c>
      <c r="B629" s="17" t="inlineStr">
        <is>
          <t>Pago de honorarios</t>
        </is>
      </c>
      <c r="C629" s="18" t="n">
        <v>1000000</v>
      </c>
      <c r="D629" s="17" t="n"/>
      <c r="E629" s="17" t="inlineStr">
        <is>
          <t xml:space="preserve"> 2603315072</t>
        </is>
      </c>
      <c r="F629" s="17" t="inlineStr">
        <is>
          <t>HABERES</t>
        </is>
      </c>
    </row>
    <row r="630">
      <c r="A630" s="26" t="n">
        <v>46112</v>
      </c>
      <c r="B630" s="17" t="inlineStr">
        <is>
          <t>Impuesto ley 25.413 credito 0,6%</t>
        </is>
      </c>
      <c r="C630" s="18" t="n">
        <v>36207.79</v>
      </c>
      <c r="D630" s="17" t="n"/>
      <c r="E630" s="17" t="inlineStr"/>
      <c r="F630" s="17" t="inlineStr">
        <is>
          <t>LEY25413_CREDITO</t>
        </is>
      </c>
    </row>
    <row r="631">
      <c r="A631" s="26" t="n">
        <v>46112</v>
      </c>
      <c r="B631" s="17" t="inlineStr">
        <is>
          <t>Impuesto ley 25.413 debito 0,6%</t>
        </is>
      </c>
      <c r="C631" s="18" t="n">
        <v>378768.82</v>
      </c>
      <c r="D631" s="17" t="n"/>
      <c r="E631" s="17" t="inlineStr"/>
      <c r="F631" s="17" t="inlineStr">
        <is>
          <t>LEY25413_DEBITO</t>
        </is>
      </c>
    </row>
    <row r="632">
      <c r="A632" s="27" t="n"/>
      <c r="B632" s="28" t="inlineStr">
        <is>
          <t>TOTALES</t>
        </is>
      </c>
      <c r="C632" s="24" t="n">
        <v>444365730.8700003</v>
      </c>
      <c r="D632" s="24" t="n">
        <v>473030433.6400002</v>
      </c>
      <c r="E632" s="27" t="n"/>
      <c r="F632" s="27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  <col width="32" customWidth="1" min="4" max="4"/>
    <col width="16" customWidth="1" min="5" max="5"/>
    <col width="16" customWidth="1" min="6" max="6"/>
  </cols>
  <sheetData>
    <row r="1">
      <c r="A1" s="22" t="inlineStr">
        <is>
          <t>AUDITORÍA: MOVIMIENTOS DETECTADOS EN SISTEMA - Mar2026</t>
        </is>
      </c>
    </row>
    <row r="3">
      <c r="A3" s="25" t="inlineStr">
        <is>
          <t>Fecha</t>
        </is>
      </c>
      <c r="B3" s="25" t="inlineStr">
        <is>
          <t>Documento/Ref</t>
        </is>
      </c>
      <c r="C3" s="25" t="inlineStr">
        <is>
          <t>Concepto Original</t>
        </is>
      </c>
      <c r="D3" s="25" t="inlineStr">
        <is>
          <t>Detalle</t>
        </is>
      </c>
      <c r="E3" s="25" t="inlineStr">
        <is>
          <t>Debe</t>
        </is>
      </c>
      <c r="F3" s="25" t="inlineStr">
        <is>
          <t>Haber</t>
        </is>
      </c>
    </row>
    <row r="4">
      <c r="A4" s="26" t="n">
        <v>46083</v>
      </c>
      <c r="B4" s="17" t="inlineStr">
        <is>
          <t>MOVFONDOS - 7299</t>
        </is>
      </c>
      <c r="C4" s="17" t="inlineStr">
        <is>
          <t>Banco Santander Cta Cte $</t>
        </is>
      </c>
      <c r="D4" s="17" t="inlineStr">
        <is>
          <t>00007701</t>
        </is>
      </c>
      <c r="E4" s="18" t="n">
        <v>3934033.17</v>
      </c>
      <c r="F4" s="17" t="n"/>
    </row>
    <row r="5">
      <c r="A5" s="26" t="n">
        <v>46083</v>
      </c>
      <c r="B5" s="17" t="inlineStr">
        <is>
          <t>MOVFONDOS - 7299</t>
        </is>
      </c>
      <c r="C5" s="17" t="inlineStr">
        <is>
          <t>Banco Santander Cta Cte $</t>
        </is>
      </c>
      <c r="D5" s="17" t="inlineStr">
        <is>
          <t>28696017</t>
        </is>
      </c>
      <c r="E5" s="18" t="n">
        <v>697104.87</v>
      </c>
      <c r="F5" s="17" t="n"/>
    </row>
    <row r="6">
      <c r="A6" s="26" t="n">
        <v>46083</v>
      </c>
      <c r="B6" s="17" t="inlineStr">
        <is>
          <t>MOVFONDOS - 7299</t>
        </is>
      </c>
      <c r="C6" s="17" t="inlineStr">
        <is>
          <t>Banco Santander Cta Cte $</t>
        </is>
      </c>
      <c r="D6" s="17" t="inlineStr">
        <is>
          <t>70400026</t>
        </is>
      </c>
      <c r="E6" s="18" t="n">
        <v>364258.4</v>
      </c>
      <c r="F6" s="17" t="n"/>
    </row>
    <row r="7">
      <c r="A7" s="26" t="n">
        <v>46083</v>
      </c>
      <c r="B7" s="17" t="inlineStr">
        <is>
          <t>MOVFONDOS - 7299</t>
        </is>
      </c>
      <c r="C7" s="17" t="inlineStr">
        <is>
          <t>Banco Santander Cta Cte $</t>
        </is>
      </c>
      <c r="D7" s="17" t="inlineStr">
        <is>
          <t>16751141</t>
        </is>
      </c>
      <c r="E7" s="18" t="n">
        <v>1697201.52</v>
      </c>
      <c r="F7" s="17" t="n"/>
    </row>
    <row r="8">
      <c r="A8" s="26" t="n">
        <v>46083</v>
      </c>
      <c r="B8" s="17" t="inlineStr">
        <is>
          <t>MOVFONDOS - 7299</t>
        </is>
      </c>
      <c r="C8" s="17" t="inlineStr">
        <is>
          <t>Banco Santander Cta Cte $</t>
        </is>
      </c>
      <c r="D8" s="17" t="inlineStr">
        <is>
          <t>83499012</t>
        </is>
      </c>
      <c r="E8" s="18" t="n">
        <v>798935.85</v>
      </c>
      <c r="F8" s="17" t="n"/>
    </row>
    <row r="9">
      <c r="A9" s="26" t="n">
        <v>46083</v>
      </c>
      <c r="B9" s="17" t="inlineStr">
        <is>
          <t>MOVFONDOS - 7299</t>
        </is>
      </c>
      <c r="C9" s="17" t="inlineStr">
        <is>
          <t>Banco Santander Cta Cte $</t>
        </is>
      </c>
      <c r="D9" s="17" t="inlineStr">
        <is>
          <t>00000292</t>
        </is>
      </c>
      <c r="E9" s="18" t="n">
        <v>2637600.65</v>
      </c>
      <c r="F9" s="17" t="n"/>
    </row>
    <row r="10">
      <c r="A10" s="26" t="n">
        <v>46083</v>
      </c>
      <c r="B10" s="17" t="inlineStr">
        <is>
          <t>MOVFONDOS - 7303</t>
        </is>
      </c>
      <c r="C10" s="17" t="inlineStr">
        <is>
          <t>Banco Santander Cta Cte $</t>
        </is>
      </c>
      <c r="D10" s="17" t="inlineStr">
        <is>
          <t>30708046465 Quantum Srl</t>
        </is>
      </c>
      <c r="E10" s="18" t="n">
        <v>1065256</v>
      </c>
      <c r="F10" s="17" t="n"/>
    </row>
    <row r="11">
      <c r="A11" s="26" t="n">
        <v>46083</v>
      </c>
      <c r="B11" s="17" t="inlineStr">
        <is>
          <t>MOVFONDOS - 7307</t>
        </is>
      </c>
      <c r="C11" s="17" t="inlineStr">
        <is>
          <t>Banco Santander Cta Cte $</t>
        </is>
      </c>
      <c r="D11" s="17" t="inlineStr">
        <is>
          <t>30708403020  M C Fragancias Sa / 9086 - Fac /</t>
        </is>
      </c>
      <c r="E11" s="18" t="n">
        <v>140722</v>
      </c>
      <c r="F11" s="17" t="n"/>
    </row>
    <row r="12">
      <c r="A12" s="26" t="n">
        <v>46083</v>
      </c>
      <c r="B12" s="17" t="inlineStr">
        <is>
          <t>PAGO - 2926</t>
        </is>
      </c>
      <c r="C12" s="17" t="inlineStr">
        <is>
          <t>Banco Santander Cta Cte $</t>
        </is>
      </c>
      <c r="D12" s="17" t="inlineStr"/>
      <c r="E12" s="17" t="n"/>
      <c r="F12" s="18" t="n">
        <v>762181.55</v>
      </c>
    </row>
    <row r="13">
      <c r="A13" s="26" t="n">
        <v>46083</v>
      </c>
      <c r="B13" s="17" t="inlineStr">
        <is>
          <t>MOVFONDOS - 7313</t>
        </is>
      </c>
      <c r="C13" s="17" t="inlineStr">
        <is>
          <t>Banco Santander Cta Cte $</t>
        </is>
      </c>
      <c r="D13" s="17" t="inlineStr"/>
      <c r="E13" s="18" t="n">
        <v>3500000</v>
      </c>
      <c r="F13" s="17" t="n"/>
    </row>
    <row r="14">
      <c r="A14" s="26" t="n">
        <v>46083</v>
      </c>
      <c r="B14" s="17" t="inlineStr">
        <is>
          <t>MOVFONDOS - 7314</t>
        </is>
      </c>
      <c r="C14" s="17" t="inlineStr">
        <is>
          <t>Banco Santander Cta Cte $</t>
        </is>
      </c>
      <c r="D14" s="17" t="inlineStr"/>
      <c r="E14" s="18" t="n">
        <v>1500000</v>
      </c>
      <c r="F14" s="17" t="n"/>
    </row>
    <row r="15">
      <c r="A15" s="26" t="n">
        <v>46083</v>
      </c>
      <c r="B15" s="17" t="inlineStr">
        <is>
          <t>MOVFONDOS - 7315</t>
        </is>
      </c>
      <c r="C15" s="17" t="inlineStr">
        <is>
          <t>Banco Santander Cta Cte $</t>
        </is>
      </c>
      <c r="D15" s="17" t="inlineStr"/>
      <c r="E15" s="17" t="n"/>
      <c r="F15" s="18" t="n">
        <v>10000000</v>
      </c>
    </row>
    <row r="16">
      <c r="A16" s="26" t="n">
        <v>46083</v>
      </c>
      <c r="B16" s="17" t="inlineStr">
        <is>
          <t>MOVFONDOS - 7319</t>
        </is>
      </c>
      <c r="C16" s="17" t="inlineStr">
        <is>
          <t>Banco Santander Cta Cte $</t>
        </is>
      </c>
      <c r="D16" s="17" t="inlineStr">
        <is>
          <t>30716914816  Medizin S.a.s / - Var /</t>
        </is>
      </c>
      <c r="E16" s="18" t="n">
        <v>155788.2</v>
      </c>
      <c r="F16" s="17" t="n"/>
    </row>
    <row r="17">
      <c r="A17" s="26" t="n">
        <v>46083</v>
      </c>
      <c r="B17" s="17" t="inlineStr">
        <is>
          <t>MOVFONDOS - 7321</t>
        </is>
      </c>
      <c r="C17" s="17" t="inlineStr">
        <is>
          <t>Banco Santander Cta Cte $</t>
        </is>
      </c>
      <c r="D17" s="17" t="inlineStr"/>
      <c r="E17" s="17" t="n"/>
      <c r="F17" s="18" t="n">
        <v>815844.9399999999</v>
      </c>
    </row>
    <row r="18">
      <c r="A18" s="26" t="n">
        <v>46083</v>
      </c>
      <c r="B18" s="17" t="inlineStr">
        <is>
          <t>AGGETNET - 377</t>
        </is>
      </c>
      <c r="C18" s="17" t="inlineStr">
        <is>
          <t>Banco Santander Cta Cte $</t>
        </is>
      </c>
      <c r="D18" s="17" t="inlineStr"/>
      <c r="E18" s="18" t="n">
        <v>17956.09</v>
      </c>
      <c r="F18" s="17" t="n"/>
    </row>
    <row r="19">
      <c r="A19" s="26" t="n">
        <v>46083</v>
      </c>
      <c r="B19" s="17" t="inlineStr">
        <is>
          <t>AGGETNET - 377</t>
        </is>
      </c>
      <c r="C19" s="17" t="inlineStr">
        <is>
          <t>Banco Santander Cta Cte $</t>
        </is>
      </c>
      <c r="D19" s="17" t="inlineStr"/>
      <c r="E19" s="18" t="n">
        <v>220378.89</v>
      </c>
      <c r="F19" s="17" t="n"/>
    </row>
    <row r="20">
      <c r="A20" s="26" t="n">
        <v>46083</v>
      </c>
      <c r="B20" s="17" t="inlineStr">
        <is>
          <t>MOVFONDOS - 7722</t>
        </is>
      </c>
      <c r="C20" s="17" t="inlineStr">
        <is>
          <t>Banco Santander Cta Cte $</t>
        </is>
      </c>
      <c r="D20" s="17" t="inlineStr"/>
      <c r="E20" s="18" t="n">
        <v>1500000</v>
      </c>
      <c r="F20" s="17" t="n"/>
    </row>
    <row r="21">
      <c r="A21" s="26" t="n">
        <v>46084</v>
      </c>
      <c r="B21" s="17" t="inlineStr">
        <is>
          <t>MOVFONDOS - 7320</t>
        </is>
      </c>
      <c r="C21" s="17" t="inlineStr">
        <is>
          <t>Banco Santander Cta Cte $</t>
        </is>
      </c>
      <c r="D21" s="17" t="inlineStr">
        <is>
          <t>30709715980  Bioingepro Srl</t>
        </is>
      </c>
      <c r="E21" s="18" t="n">
        <v>5078567.09</v>
      </c>
      <c r="F21" s="17" t="n"/>
    </row>
    <row r="22">
      <c r="A22" s="26" t="n">
        <v>46084</v>
      </c>
      <c r="B22" s="17" t="inlineStr">
        <is>
          <t>PAGO - 2930</t>
        </is>
      </c>
      <c r="C22" s="17" t="inlineStr">
        <is>
          <t>Banco Santander Cta Cte $</t>
        </is>
      </c>
      <c r="D22" s="17" t="inlineStr"/>
      <c r="E22" s="17" t="n"/>
      <c r="F22" s="18" t="n">
        <v>920576.26</v>
      </c>
    </row>
    <row r="23">
      <c r="A23" s="26" t="n">
        <v>46084</v>
      </c>
      <c r="B23" s="17" t="inlineStr">
        <is>
          <t>PAGO - 2931</t>
        </is>
      </c>
      <c r="C23" s="17" t="inlineStr">
        <is>
          <t>Banco Santander Cta Cte $</t>
        </is>
      </c>
      <c r="D23" s="17" t="inlineStr"/>
      <c r="E23" s="17" t="n"/>
      <c r="F23" s="18" t="n">
        <v>175593.51</v>
      </c>
    </row>
    <row r="24">
      <c r="A24" s="26" t="n">
        <v>46084</v>
      </c>
      <c r="B24" s="17" t="inlineStr">
        <is>
          <t>PAGO - 2932</t>
        </is>
      </c>
      <c r="C24" s="17" t="inlineStr">
        <is>
          <t>Banco Santander Cta Cte $</t>
        </is>
      </c>
      <c r="D24" s="17" t="inlineStr"/>
      <c r="E24" s="17" t="n"/>
      <c r="F24" s="18" t="n">
        <v>109631.34</v>
      </c>
    </row>
    <row r="25">
      <c r="A25" s="26" t="n">
        <v>46084</v>
      </c>
      <c r="B25" s="17" t="inlineStr">
        <is>
          <t>PAGO - 2933</t>
        </is>
      </c>
      <c r="C25" s="17" t="inlineStr">
        <is>
          <t>Banco Santander Cta Cte $</t>
        </is>
      </c>
      <c r="D25" s="17" t="inlineStr"/>
      <c r="E25" s="17" t="n"/>
      <c r="F25" s="18" t="n">
        <v>72894.69</v>
      </c>
    </row>
    <row r="26">
      <c r="A26" s="26" t="n">
        <v>46084</v>
      </c>
      <c r="B26" s="17" t="inlineStr">
        <is>
          <t>PAGO - 2934</t>
        </is>
      </c>
      <c r="C26" s="17" t="inlineStr">
        <is>
          <t>Banco Santander Cta Cte $</t>
        </is>
      </c>
      <c r="D26" s="17" t="inlineStr"/>
      <c r="E26" s="17" t="n"/>
      <c r="F26" s="18" t="n">
        <v>353925</v>
      </c>
    </row>
    <row r="27">
      <c r="A27" s="26" t="n">
        <v>46084</v>
      </c>
      <c r="B27" s="17" t="inlineStr">
        <is>
          <t>PAGO - 2937</t>
        </is>
      </c>
      <c r="C27" s="17" t="inlineStr">
        <is>
          <t>Banco Santander Cta Cte $</t>
        </is>
      </c>
      <c r="D27" s="17" t="inlineStr"/>
      <c r="E27" s="17" t="n"/>
      <c r="F27" s="18" t="n">
        <v>7643370</v>
      </c>
    </row>
    <row r="28">
      <c r="A28" s="26" t="n">
        <v>46084</v>
      </c>
      <c r="B28" s="17" t="inlineStr">
        <is>
          <t>MOVFONDOS - 7326</t>
        </is>
      </c>
      <c r="C28" s="17" t="inlineStr">
        <is>
          <t>Banco Santander Cta Cte $</t>
        </is>
      </c>
      <c r="D28" s="17" t="inlineStr">
        <is>
          <t>30586761419 Universidad Nacional Del Cent</t>
        </is>
      </c>
      <c r="E28" s="18" t="n">
        <v>66691.62</v>
      </c>
      <c r="F28" s="17" t="n"/>
    </row>
    <row r="29">
      <c r="A29" s="26" t="n">
        <v>46084</v>
      </c>
      <c r="B29" s="17" t="inlineStr">
        <is>
          <t>MOVFONDOS - 7327</t>
        </is>
      </c>
      <c r="C29" s="17" t="inlineStr">
        <is>
          <t>Banco Santander Cta Cte $</t>
        </is>
      </c>
      <c r="D29" s="17" t="inlineStr">
        <is>
          <t>27305645058 Maria Martina De Batti / - Var /</t>
        </is>
      </c>
      <c r="E29" s="18" t="n">
        <v>376285.8</v>
      </c>
      <c r="F29" s="17" t="n"/>
    </row>
    <row r="30">
      <c r="A30" s="26" t="n">
        <v>46084</v>
      </c>
      <c r="B30" s="17" t="inlineStr">
        <is>
          <t>MOVFONDOS - 7328</t>
        </is>
      </c>
      <c r="C30" s="17" t="inlineStr">
        <is>
          <t>Banco Santander Cta Cte $</t>
        </is>
      </c>
      <c r="D30" s="17" t="inlineStr">
        <is>
          <t>20315308721  Nicolas Errasti Martin / - Var /</t>
        </is>
      </c>
      <c r="E30" s="18" t="n">
        <v>111289.75</v>
      </c>
      <c r="F30" s="17" t="n"/>
    </row>
    <row r="31">
      <c r="A31" s="26" t="n">
        <v>46084</v>
      </c>
      <c r="B31" s="17" t="inlineStr">
        <is>
          <t>MOVFONDOS - 7329</t>
        </is>
      </c>
      <c r="C31" s="17" t="inlineStr">
        <is>
          <t>Banco Santander Cta Cte $</t>
        </is>
      </c>
      <c r="D31" s="17" t="inlineStr">
        <is>
          <t>30522947632  Bueloni Y Cia / Factura - Fac /</t>
        </is>
      </c>
      <c r="E31" s="18" t="n">
        <v>698727.85</v>
      </c>
      <c r="F31" s="17" t="n"/>
    </row>
    <row r="32">
      <c r="A32" s="26" t="n">
        <v>46084</v>
      </c>
      <c r="B32" s="17" t="inlineStr">
        <is>
          <t>MOVFONDOS - 7330</t>
        </is>
      </c>
      <c r="C32" s="17" t="inlineStr">
        <is>
          <t>Banco Santander Cta Cte $</t>
        </is>
      </c>
      <c r="D32" s="17" t="inlineStr">
        <is>
          <t>30532610989 Farmacia Colon Srl / Factura - Fac /</t>
        </is>
      </c>
      <c r="E32" s="18" t="n">
        <v>41895</v>
      </c>
      <c r="F32" s="17" t="n"/>
    </row>
    <row r="33">
      <c r="A33" s="26" t="n">
        <v>46084</v>
      </c>
      <c r="B33" s="17" t="inlineStr">
        <is>
          <t>PAGO - 2938</t>
        </is>
      </c>
      <c r="C33" s="17" t="inlineStr">
        <is>
          <t>Banco Santander Cta Cte $</t>
        </is>
      </c>
      <c r="D33" s="17" t="inlineStr"/>
      <c r="E33" s="17" t="n"/>
      <c r="F33" s="18" t="n">
        <v>710000</v>
      </c>
    </row>
    <row r="34">
      <c r="A34" s="26" t="n">
        <v>46084</v>
      </c>
      <c r="B34" s="17" t="inlineStr">
        <is>
          <t>MOVFONDOS - 7334</t>
        </is>
      </c>
      <c r="C34" s="17" t="inlineStr">
        <is>
          <t>Banco Santander Cta Cte $</t>
        </is>
      </c>
      <c r="D34" s="17" t="inlineStr"/>
      <c r="E34" s="17" t="n"/>
      <c r="F34" s="18" t="n">
        <v>440846.7</v>
      </c>
    </row>
    <row r="35">
      <c r="A35" s="26" t="n">
        <v>46084</v>
      </c>
      <c r="B35" s="17" t="inlineStr">
        <is>
          <t>PAGO - 2939</t>
        </is>
      </c>
      <c r="C35" s="17" t="inlineStr">
        <is>
          <t>Banco Santander Cta Cte $</t>
        </is>
      </c>
      <c r="D35" s="17" t="inlineStr"/>
      <c r="E35" s="17" t="n"/>
      <c r="F35" s="18" t="n">
        <v>500000</v>
      </c>
    </row>
    <row r="36">
      <c r="A36" s="26" t="n">
        <v>46084</v>
      </c>
      <c r="B36" s="17" t="inlineStr">
        <is>
          <t>MOVFONDOS - 7335</t>
        </is>
      </c>
      <c r="C36" s="17" t="inlineStr">
        <is>
          <t>Banco Santander Cta Cte $</t>
        </is>
      </c>
      <c r="D36" s="17" t="inlineStr">
        <is>
          <t>Soc Benef Italiano</t>
        </is>
      </c>
      <c r="E36" s="18" t="n">
        <v>1676255.37</v>
      </c>
      <c r="F36" s="17" t="n"/>
    </row>
    <row r="37">
      <c r="A37" s="26" t="n">
        <v>46084</v>
      </c>
      <c r="B37" s="17" t="inlineStr">
        <is>
          <t>MOVFONDOS - 7366</t>
        </is>
      </c>
      <c r="C37" s="17" t="inlineStr">
        <is>
          <t>Banco Santander Cta Cte $</t>
        </is>
      </c>
      <c r="D37" s="17" t="inlineStr">
        <is>
          <t>28666151</t>
        </is>
      </c>
      <c r="E37" s="18" t="n">
        <v>792947.4</v>
      </c>
      <c r="F37" s="17" t="n"/>
    </row>
    <row r="38">
      <c r="A38" s="26" t="n">
        <v>46084</v>
      </c>
      <c r="B38" s="17" t="inlineStr">
        <is>
          <t>AGGETNET - 383</t>
        </is>
      </c>
      <c r="C38" s="17" t="inlineStr">
        <is>
          <t>Banco Santander Cta Cte $</t>
        </is>
      </c>
      <c r="D38" s="17" t="inlineStr"/>
      <c r="E38" s="18" t="n">
        <v>41771.35</v>
      </c>
      <c r="F38" s="17" t="n"/>
    </row>
    <row r="39">
      <c r="A39" s="26" t="n">
        <v>46084</v>
      </c>
      <c r="B39" s="17" t="inlineStr">
        <is>
          <t>AGGETNET - 383</t>
        </is>
      </c>
      <c r="C39" s="17" t="inlineStr">
        <is>
          <t>Banco Santander Cta Cte $</t>
        </is>
      </c>
      <c r="D39" s="17" t="inlineStr"/>
      <c r="E39" s="18" t="n">
        <v>177280.27</v>
      </c>
      <c r="F39" s="17" t="n"/>
    </row>
    <row r="40">
      <c r="A40" s="26" t="n">
        <v>46085</v>
      </c>
      <c r="B40" s="17" t="inlineStr">
        <is>
          <t>MOVFONDOS - 7344</t>
        </is>
      </c>
      <c r="C40" s="17" t="inlineStr">
        <is>
          <t>Banco Santander Cta Cte $</t>
        </is>
      </c>
      <c r="D40" s="17" t="inlineStr">
        <is>
          <t>23470892919  Badano/wilmer Estanisl / 0047089291 - Var /</t>
        </is>
      </c>
      <c r="E40" s="18" t="n">
        <v>21971.77</v>
      </c>
      <c r="F40" s="17" t="n"/>
    </row>
    <row r="41">
      <c r="A41" s="26" t="n">
        <v>46085</v>
      </c>
      <c r="B41" s="17" t="inlineStr">
        <is>
          <t>MOVFONDOS - 7345</t>
        </is>
      </c>
      <c r="C41" s="17" t="inlineStr">
        <is>
          <t>Banco Santander Cta Cte $</t>
        </is>
      </c>
      <c r="D41" s="17" t="inlineStr">
        <is>
          <t>Transferencia Ctas Mobile Banking - De Carla Maria Esquivel A / Varios - Var / 23246146004</t>
        </is>
      </c>
      <c r="E41" s="18" t="n">
        <v>43392</v>
      </c>
      <c r="F41" s="17" t="n"/>
    </row>
    <row r="42">
      <c r="A42" s="26" t="n">
        <v>46085</v>
      </c>
      <c r="B42" s="17" t="inlineStr">
        <is>
          <t>AGGETNET - 384</t>
        </is>
      </c>
      <c r="C42" s="17" t="inlineStr">
        <is>
          <t>Banco Santander Cta Cte $</t>
        </is>
      </c>
      <c r="D42" s="17" t="inlineStr"/>
      <c r="E42" s="18" t="n">
        <v>149075.55</v>
      </c>
      <c r="F42" s="17" t="n"/>
    </row>
    <row r="43">
      <c r="A43" s="26" t="n">
        <v>46085</v>
      </c>
      <c r="B43" s="17" t="inlineStr">
        <is>
          <t>AGGETNET - 384</t>
        </is>
      </c>
      <c r="C43" s="17" t="inlineStr">
        <is>
          <t>Banco Santander Cta Cte $</t>
        </is>
      </c>
      <c r="D43" s="17" t="inlineStr"/>
      <c r="E43" s="18" t="n">
        <v>93757.34</v>
      </c>
      <c r="F43" s="17" t="n"/>
    </row>
    <row r="44">
      <c r="A44" s="26" t="n">
        <v>46086</v>
      </c>
      <c r="B44" s="17" t="inlineStr">
        <is>
          <t>PAGO - 2945</t>
        </is>
      </c>
      <c r="C44" s="17" t="inlineStr">
        <is>
          <t>Banco Santander Cta Cte $</t>
        </is>
      </c>
      <c r="D44" s="17" t="inlineStr"/>
      <c r="E44" s="17" t="n"/>
      <c r="F44" s="18" t="n">
        <v>116107.55</v>
      </c>
    </row>
    <row r="45">
      <c r="A45" s="26" t="n">
        <v>46086</v>
      </c>
      <c r="B45" s="17" t="inlineStr">
        <is>
          <t>PAGO - 2946</t>
        </is>
      </c>
      <c r="C45" s="17" t="inlineStr">
        <is>
          <t>Banco Santander Cta Cte $</t>
        </is>
      </c>
      <c r="D45" s="17" t="inlineStr"/>
      <c r="E45" s="17" t="n"/>
      <c r="F45" s="18" t="n">
        <v>138293.61</v>
      </c>
    </row>
    <row r="46">
      <c r="A46" s="26" t="n">
        <v>46086</v>
      </c>
      <c r="B46" s="17" t="inlineStr">
        <is>
          <t>PAGO - 2947</t>
        </is>
      </c>
      <c r="C46" s="17" t="inlineStr">
        <is>
          <t>Banco Santander Cta Cte $</t>
        </is>
      </c>
      <c r="D46" s="17" t="inlineStr"/>
      <c r="E46" s="17" t="n"/>
      <c r="F46" s="18" t="n">
        <v>800000</v>
      </c>
    </row>
    <row r="47">
      <c r="A47" s="26" t="n">
        <v>46086</v>
      </c>
      <c r="B47" s="17" t="inlineStr">
        <is>
          <t>PAGO - 2949</t>
        </is>
      </c>
      <c r="C47" s="17" t="inlineStr">
        <is>
          <t>Banco Santander Cta Cte $</t>
        </is>
      </c>
      <c r="D47" s="17" t="inlineStr"/>
      <c r="E47" s="17" t="n"/>
      <c r="F47" s="18" t="n">
        <v>1071148</v>
      </c>
    </row>
    <row r="48">
      <c r="A48" s="26" t="n">
        <v>46086</v>
      </c>
      <c r="B48" s="17" t="inlineStr">
        <is>
          <t>PAGO - 2950</t>
        </is>
      </c>
      <c r="C48" s="17" t="inlineStr">
        <is>
          <t>Banco Santander Cta Cte $</t>
        </is>
      </c>
      <c r="D48" s="17" t="inlineStr"/>
      <c r="E48" s="17" t="n"/>
      <c r="F48" s="18" t="n">
        <v>532160.58</v>
      </c>
    </row>
    <row r="49">
      <c r="A49" s="26" t="n">
        <v>46086</v>
      </c>
      <c r="B49" s="17" t="inlineStr">
        <is>
          <t>PAGO - 2951</t>
        </is>
      </c>
      <c r="C49" s="17" t="inlineStr">
        <is>
          <t>Banco Santander Cta Cte $</t>
        </is>
      </c>
      <c r="D49" s="17" t="inlineStr"/>
      <c r="E49" s="17" t="n"/>
      <c r="F49" s="18" t="n">
        <v>18086.63</v>
      </c>
    </row>
    <row r="50">
      <c r="A50" s="26" t="n">
        <v>46086</v>
      </c>
      <c r="B50" s="17" t="inlineStr">
        <is>
          <t>PAGO - 2952</t>
        </is>
      </c>
      <c r="C50" s="17" t="inlineStr">
        <is>
          <t>Banco Santander Cta Cte $</t>
        </is>
      </c>
      <c r="D50" s="17" t="inlineStr"/>
      <c r="E50" s="17" t="n"/>
      <c r="F50" s="18" t="n">
        <v>690000</v>
      </c>
    </row>
    <row r="51">
      <c r="A51" s="26" t="n">
        <v>46086</v>
      </c>
      <c r="B51" s="17" t="inlineStr">
        <is>
          <t>PAGO - 2953</t>
        </is>
      </c>
      <c r="C51" s="17" t="inlineStr">
        <is>
          <t>Banco Santander Cta Cte $</t>
        </is>
      </c>
      <c r="D51" s="17" t="inlineStr"/>
      <c r="E51" s="17" t="n"/>
      <c r="F51" s="18" t="n">
        <v>934228.37</v>
      </c>
    </row>
    <row r="52">
      <c r="A52" s="26" t="n">
        <v>46086</v>
      </c>
      <c r="B52" s="17" t="inlineStr">
        <is>
          <t>PAGO - 2954</t>
        </is>
      </c>
      <c r="C52" s="17" t="inlineStr">
        <is>
          <t>Banco Santander Cta Cte $</t>
        </is>
      </c>
      <c r="D52" s="17" t="inlineStr"/>
      <c r="E52" s="17" t="n"/>
      <c r="F52" s="18" t="n">
        <v>1000000</v>
      </c>
    </row>
    <row r="53">
      <c r="A53" s="26" t="n">
        <v>46086</v>
      </c>
      <c r="B53" s="17" t="inlineStr">
        <is>
          <t>PAGO - 2955</t>
        </is>
      </c>
      <c r="C53" s="17" t="inlineStr">
        <is>
          <t>Banco Santander Cta Cte $</t>
        </is>
      </c>
      <c r="D53" s="17" t="inlineStr"/>
      <c r="E53" s="17" t="n"/>
      <c r="F53" s="18" t="n">
        <v>1249500</v>
      </c>
    </row>
    <row r="54">
      <c r="A54" s="26" t="n">
        <v>46086</v>
      </c>
      <c r="B54" s="17" t="inlineStr">
        <is>
          <t>PAGO - 2956</t>
        </is>
      </c>
      <c r="C54" s="17" t="inlineStr">
        <is>
          <t>Banco Santander Cta Cte $</t>
        </is>
      </c>
      <c r="D54" s="17" t="inlineStr"/>
      <c r="E54" s="17" t="n"/>
      <c r="F54" s="18" t="n">
        <v>586850</v>
      </c>
    </row>
    <row r="55">
      <c r="A55" s="26" t="n">
        <v>46086</v>
      </c>
      <c r="B55" s="17" t="inlineStr">
        <is>
          <t>PAGO - 2957</t>
        </is>
      </c>
      <c r="C55" s="17" t="inlineStr">
        <is>
          <t>Banco Santander Cta Cte $</t>
        </is>
      </c>
      <c r="D55" s="17" t="inlineStr"/>
      <c r="E55" s="17" t="n"/>
      <c r="F55" s="18" t="n">
        <v>18326</v>
      </c>
    </row>
    <row r="56">
      <c r="A56" s="26" t="n">
        <v>46086</v>
      </c>
      <c r="B56" s="17" t="inlineStr">
        <is>
          <t>MOVFONDOS - 7347</t>
        </is>
      </c>
      <c r="C56" s="17" t="inlineStr">
        <is>
          <t>Banco Santander Cta Cte $</t>
        </is>
      </c>
      <c r="D56" s="17" t="inlineStr">
        <is>
          <t>30641818972 Transquimica Marina / Pr 13220 - Fac /</t>
        </is>
      </c>
      <c r="E56" s="18" t="n">
        <v>44232</v>
      </c>
      <c r="F56" s="17" t="n"/>
    </row>
    <row r="57">
      <c r="A57" s="26" t="n">
        <v>46086</v>
      </c>
      <c r="B57" s="17" t="inlineStr">
        <is>
          <t>MOVFONDOS - 7349</t>
        </is>
      </c>
      <c r="C57" s="17" t="inlineStr">
        <is>
          <t>Banco Santander Cta Cte $</t>
        </is>
      </c>
      <c r="D57" s="17" t="inlineStr"/>
      <c r="E57" s="17" t="n"/>
      <c r="F57" s="18" t="n">
        <v>9000000</v>
      </c>
    </row>
    <row r="58">
      <c r="A58" s="26" t="n">
        <v>46086</v>
      </c>
      <c r="B58" s="17" t="inlineStr">
        <is>
          <t>MOVFONDOS - 7351</t>
        </is>
      </c>
      <c r="C58" s="17" t="inlineStr">
        <is>
          <t>Banco Santander Cta Cte $</t>
        </is>
      </c>
      <c r="D58" s="17" t="inlineStr"/>
      <c r="E58" s="18" t="n">
        <v>1000000</v>
      </c>
      <c r="F58" s="17" t="n"/>
    </row>
    <row r="59">
      <c r="A59" s="26" t="n">
        <v>46086</v>
      </c>
      <c r="B59" s="17" t="inlineStr">
        <is>
          <t>MOVFONDOS - 7352</t>
        </is>
      </c>
      <c r="C59" s="17" t="inlineStr">
        <is>
          <t>Banco Santander Cta Cte $</t>
        </is>
      </c>
      <c r="D59" s="17" t="inlineStr">
        <is>
          <t>27232703240 Sandra Edith Zulian / - Var /</t>
        </is>
      </c>
      <c r="E59" s="18" t="n">
        <v>621363.6</v>
      </c>
      <c r="F59" s="17" t="n"/>
    </row>
    <row r="60">
      <c r="A60" s="26" t="n">
        <v>46086</v>
      </c>
      <c r="B60" s="17" t="inlineStr">
        <is>
          <t>MOVFONDOS - 7356</t>
        </is>
      </c>
      <c r="C60" s="17" t="inlineStr">
        <is>
          <t>Banco Santander Cta Cte $</t>
        </is>
      </c>
      <c r="D60" s="17" t="inlineStr">
        <is>
          <t>27458873521 Borrell, Jimena Ayl N / Varios - Var /</t>
        </is>
      </c>
      <c r="E60" s="18" t="n">
        <v>4968.94</v>
      </c>
      <c r="F60" s="17" t="n"/>
    </row>
    <row r="61">
      <c r="A61" s="26" t="n">
        <v>46086</v>
      </c>
      <c r="B61" s="17" t="inlineStr">
        <is>
          <t>MOVFONDOS - 7357</t>
        </is>
      </c>
      <c r="C61" s="17" t="inlineStr">
        <is>
          <t>Banco Santander Cta Cte $</t>
        </is>
      </c>
      <c r="D61" s="17" t="inlineStr">
        <is>
          <t>30707509356 Chemit Argentina Srl / Varios - Var /</t>
        </is>
      </c>
      <c r="E61" s="18" t="n">
        <v>2085341</v>
      </c>
      <c r="F61" s="17" t="n"/>
    </row>
    <row r="62">
      <c r="A62" s="26" t="n">
        <v>46086</v>
      </c>
      <c r="B62" s="17" t="inlineStr">
        <is>
          <t>MOVFONDOS - 7358</t>
        </is>
      </c>
      <c r="C62" s="17" t="inlineStr">
        <is>
          <t>Banco Santander Cta Cte $</t>
        </is>
      </c>
      <c r="D62" s="17" t="inlineStr">
        <is>
          <t>30547110427   Sgs Argentina Sa</t>
        </is>
      </c>
      <c r="E62" s="18" t="n">
        <v>1593833.47</v>
      </c>
      <c r="F62" s="17" t="n"/>
    </row>
    <row r="63">
      <c r="A63" s="26" t="n">
        <v>46086</v>
      </c>
      <c r="B63" s="17" t="inlineStr">
        <is>
          <t>AGGETNET - 385</t>
        </is>
      </c>
      <c r="C63" s="17" t="inlineStr">
        <is>
          <t>Banco Santander Cta Cte $</t>
        </is>
      </c>
      <c r="D63" s="17" t="inlineStr"/>
      <c r="E63" s="18" t="n">
        <v>113286.66</v>
      </c>
      <c r="F63" s="17" t="n"/>
    </row>
    <row r="64">
      <c r="A64" s="26" t="n">
        <v>46086</v>
      </c>
      <c r="B64" s="17" t="inlineStr">
        <is>
          <t>AGGETNET - 385</t>
        </is>
      </c>
      <c r="C64" s="17" t="inlineStr">
        <is>
          <t>Banco Santander Cta Cte $</t>
        </is>
      </c>
      <c r="D64" s="17" t="inlineStr"/>
      <c r="E64" s="18" t="n">
        <v>23590.97</v>
      </c>
      <c r="F64" s="17" t="n"/>
    </row>
    <row r="65">
      <c r="A65" s="26" t="n">
        <v>46087</v>
      </c>
      <c r="B65" s="17" t="inlineStr">
        <is>
          <t>MOVFONDOS - 7359</t>
        </is>
      </c>
      <c r="C65" s="17" t="inlineStr">
        <is>
          <t>Banco Santander Cta Cte $</t>
        </is>
      </c>
      <c r="D65" s="17" t="inlineStr">
        <is>
          <t>30708935324 Los Vascos Srl</t>
        </is>
      </c>
      <c r="E65" s="18" t="n">
        <v>65385.6</v>
      </c>
      <c r="F65" s="17" t="n"/>
    </row>
    <row r="66">
      <c r="A66" s="26" t="n">
        <v>46087</v>
      </c>
      <c r="B66" s="17" t="inlineStr">
        <is>
          <t>MOVFONDOS - 7362</t>
        </is>
      </c>
      <c r="C66" s="17" t="inlineStr">
        <is>
          <t>Banco Santander Cta Cte $</t>
        </is>
      </c>
      <c r="D66" s="17" t="inlineStr">
        <is>
          <t>27164133228  Norma Noemi Miceli / Uala /</t>
        </is>
      </c>
      <c r="E66" s="18" t="n">
        <v>692835</v>
      </c>
      <c r="F66" s="17" t="n"/>
    </row>
    <row r="67">
      <c r="A67" s="26" t="n">
        <v>46087</v>
      </c>
      <c r="B67" s="17" t="inlineStr">
        <is>
          <t>MOVFONDOS - 7363</t>
        </is>
      </c>
      <c r="C67" s="17" t="inlineStr">
        <is>
          <t>Banco Santander Cta Cte $</t>
        </is>
      </c>
      <c r="D67" s="17" t="inlineStr">
        <is>
          <t>27448584653  Cignoli, Agustina / Varios - Var /</t>
        </is>
      </c>
      <c r="E67" s="18" t="n">
        <v>14984.42</v>
      </c>
      <c r="F67" s="17" t="n"/>
    </row>
    <row r="68">
      <c r="A68" s="26" t="n">
        <v>46087</v>
      </c>
      <c r="B68" s="17" t="inlineStr">
        <is>
          <t>MOVFONDOS - 7364</t>
        </is>
      </c>
      <c r="C68" s="17" t="inlineStr">
        <is>
          <t>Banco Santander Cta Cte $</t>
        </is>
      </c>
      <c r="D68" s="17" t="inlineStr">
        <is>
          <t>27461493667 Sofia Bello / Prex /</t>
        </is>
      </c>
      <c r="E68" s="18" t="n">
        <v>17535.62</v>
      </c>
      <c r="F68" s="17" t="n"/>
    </row>
    <row r="69">
      <c r="A69" s="26" t="n">
        <v>46087</v>
      </c>
      <c r="B69" s="17" t="inlineStr">
        <is>
          <t>MOVFONDOS - 7365</t>
        </is>
      </c>
      <c r="C69" s="17" t="inlineStr">
        <is>
          <t>Banco Santander Cta Cte $</t>
        </is>
      </c>
      <c r="D69" s="17" t="inlineStr">
        <is>
          <t>00016982</t>
        </is>
      </c>
      <c r="E69" s="18" t="n">
        <v>530751.65</v>
      </c>
      <c r="F69" s="17" t="n"/>
    </row>
    <row r="70">
      <c r="A70" s="26" t="n">
        <v>46087</v>
      </c>
      <c r="B70" s="17" t="inlineStr">
        <is>
          <t>MOVFONDOS - 7365</t>
        </is>
      </c>
      <c r="C70" s="17" t="inlineStr">
        <is>
          <t>Banco Santander Cta Cte $</t>
        </is>
      </c>
      <c r="D70" s="17" t="inlineStr">
        <is>
          <t>74467888</t>
        </is>
      </c>
      <c r="E70" s="18" t="n">
        <v>625867.8100000001</v>
      </c>
      <c r="F70" s="17" t="n"/>
    </row>
    <row r="71">
      <c r="A71" s="26" t="n">
        <v>46087</v>
      </c>
      <c r="B71" s="17" t="inlineStr">
        <is>
          <t>MOVFONDOS - 7372</t>
        </is>
      </c>
      <c r="C71" s="17" t="inlineStr">
        <is>
          <t>Banco Santander Cta Cte $</t>
        </is>
      </c>
      <c r="D71" s="17" t="inlineStr">
        <is>
          <t>30544210803   Francisco H. Walz S.c.a.</t>
        </is>
      </c>
      <c r="E71" s="18" t="n">
        <v>686920.15</v>
      </c>
      <c r="F71" s="17" t="n"/>
    </row>
    <row r="72">
      <c r="A72" s="26" t="n">
        <v>46087</v>
      </c>
      <c r="B72" s="17" t="inlineStr">
        <is>
          <t>MOVFONDOS - 7373</t>
        </is>
      </c>
      <c r="C72" s="17" t="inlineStr">
        <is>
          <t>Banco Santander Cta Cte $</t>
        </is>
      </c>
      <c r="D72" s="17" t="inlineStr">
        <is>
          <t>27323476905  Arias,analia Natali / Transf - Var /</t>
        </is>
      </c>
      <c r="E72" s="18" t="n">
        <v>33984.64</v>
      </c>
      <c r="F72" s="17" t="n"/>
    </row>
    <row r="73">
      <c r="A73" s="26" t="n">
        <v>46087</v>
      </c>
      <c r="B73" s="17" t="inlineStr">
        <is>
          <t>MOVFONDOS - 7374</t>
        </is>
      </c>
      <c r="C73" s="17" t="inlineStr">
        <is>
          <t>Banco Santander Cta Cte $</t>
        </is>
      </c>
      <c r="D73" s="17" t="inlineStr">
        <is>
          <t>27462112535 De Violeta Cardozo / - Var /</t>
        </is>
      </c>
      <c r="E73" s="18" t="n">
        <v>11188.66</v>
      </c>
      <c r="F73" s="17" t="n"/>
    </row>
    <row r="74">
      <c r="A74" s="26" t="n">
        <v>46087</v>
      </c>
      <c r="B74" s="17" t="inlineStr">
        <is>
          <t>MOVFONDOS - 7387</t>
        </is>
      </c>
      <c r="C74" s="17" t="inlineStr">
        <is>
          <t>Banco Santander Cta Cte $</t>
        </is>
      </c>
      <c r="D74" s="17" t="inlineStr">
        <is>
          <t>30519887335  S.n.p. - Microsules Arge Fac</t>
        </is>
      </c>
      <c r="E74" s="18" t="n">
        <v>2051329.44</v>
      </c>
      <c r="F74" s="17" t="n"/>
    </row>
    <row r="75">
      <c r="A75" s="26" t="n">
        <v>46087</v>
      </c>
      <c r="B75" s="17" t="inlineStr">
        <is>
          <t>MOVFONDOS - 7388</t>
        </is>
      </c>
      <c r="C75" s="17" t="inlineStr">
        <is>
          <t>Banco Santander Cta Cte $</t>
        </is>
      </c>
      <c r="D75" s="17" t="inlineStr">
        <is>
          <t>27961822357 Sofia Carolina Arzuza / - Var /</t>
        </is>
      </c>
      <c r="E75" s="18" t="n">
        <v>15080</v>
      </c>
      <c r="F75" s="17" t="n"/>
    </row>
    <row r="76">
      <c r="A76" s="26" t="n">
        <v>46087</v>
      </c>
      <c r="B76" s="17" t="inlineStr">
        <is>
          <t>MOVFONDOS - 7389</t>
        </is>
      </c>
      <c r="C76" s="17" t="inlineStr">
        <is>
          <t>Banco Santander Cta Cte $</t>
        </is>
      </c>
      <c r="D76" s="17" t="inlineStr">
        <is>
          <t>20250601167  Pacheco/geronimo / - Var /</t>
        </is>
      </c>
      <c r="E76" s="18" t="n">
        <v>26218.89</v>
      </c>
      <c r="F76" s="17" t="n"/>
    </row>
    <row r="77">
      <c r="A77" s="26" t="n">
        <v>46087</v>
      </c>
      <c r="B77" s="17" t="inlineStr">
        <is>
          <t>MOVFONDOS - 7390</t>
        </is>
      </c>
      <c r="C77" s="17" t="inlineStr">
        <is>
          <t>Banco Santander Cta Cte $</t>
        </is>
      </c>
      <c r="D77" s="17" t="inlineStr">
        <is>
          <t>30708432071  Ingredients Solutions / Varios - Var /</t>
        </is>
      </c>
      <c r="E77" s="18" t="n">
        <v>28606.25</v>
      </c>
      <c r="F77" s="17" t="n"/>
    </row>
    <row r="78">
      <c r="A78" s="26" t="n">
        <v>46087</v>
      </c>
      <c r="B78" s="17" t="inlineStr">
        <is>
          <t>MOVFONDOS - 7391</t>
        </is>
      </c>
      <c r="C78" s="17" t="inlineStr">
        <is>
          <t>Banco Santander Cta Cte $</t>
        </is>
      </c>
      <c r="D78" s="17" t="inlineStr">
        <is>
          <t>27445948727 Azul/a Bulacio / - Var /</t>
        </is>
      </c>
      <c r="E78" s="18" t="n">
        <v>12069.75</v>
      </c>
      <c r="F78" s="17" t="n"/>
    </row>
    <row r="79">
      <c r="A79" s="26" t="n">
        <v>46087</v>
      </c>
      <c r="B79" s="17" t="inlineStr">
        <is>
          <t>AGGETNET - 386</t>
        </is>
      </c>
      <c r="C79" s="17" t="inlineStr">
        <is>
          <t>Banco Santander Cta Cte $</t>
        </is>
      </c>
      <c r="D79" s="17" t="inlineStr"/>
      <c r="E79" s="18" t="n">
        <v>130791.44</v>
      </c>
      <c r="F79" s="17" t="n"/>
    </row>
    <row r="80">
      <c r="A80" s="26" t="n">
        <v>46087</v>
      </c>
      <c r="B80" s="17" t="inlineStr">
        <is>
          <t>AGGETNET - 386</t>
        </is>
      </c>
      <c r="C80" s="17" t="inlineStr">
        <is>
          <t>Banco Santander Cta Cte $</t>
        </is>
      </c>
      <c r="D80" s="17" t="inlineStr"/>
      <c r="E80" s="18" t="n">
        <v>29445.21</v>
      </c>
      <c r="F80" s="17" t="n"/>
    </row>
    <row r="81">
      <c r="A81" s="26" t="n">
        <v>46088</v>
      </c>
      <c r="B81" s="17" t="inlineStr">
        <is>
          <t>MOVFONDOS - 7385</t>
        </is>
      </c>
      <c r="C81" s="17" t="inlineStr">
        <is>
          <t>Banco Santander Cta Cte $</t>
        </is>
      </c>
      <c r="D81" s="17" t="inlineStr">
        <is>
          <t>27467497389 Ledesma Ana Suyay / 7626 - Var /</t>
        </is>
      </c>
      <c r="E81" s="18" t="n">
        <v>11110.9</v>
      </c>
      <c r="F81" s="17" t="n"/>
    </row>
    <row r="82">
      <c r="A82" s="26" t="n">
        <v>46089</v>
      </c>
      <c r="B82" s="17" t="inlineStr">
        <is>
          <t>MOVFONDOS - 7386</t>
        </is>
      </c>
      <c r="C82" s="17" t="inlineStr">
        <is>
          <t>Banco Santander Cta Cte $</t>
        </is>
      </c>
      <c r="D82" s="17" t="inlineStr">
        <is>
          <t>23252269584 Claudia De Luca / Varios - Var /</t>
        </is>
      </c>
      <c r="E82" s="18" t="n">
        <v>9257.52</v>
      </c>
      <c r="F82" s="17" t="n"/>
    </row>
    <row r="83">
      <c r="A83" s="26" t="n">
        <v>46090</v>
      </c>
      <c r="B83" s="17" t="inlineStr">
        <is>
          <t>MOVFONDOS - 7382</t>
        </is>
      </c>
      <c r="C83" s="17" t="inlineStr">
        <is>
          <t>Banco Santander Cta Cte $</t>
        </is>
      </c>
      <c r="D83" s="17" t="inlineStr">
        <is>
          <t>00007702</t>
        </is>
      </c>
      <c r="E83" s="18" t="n">
        <v>30033.72</v>
      </c>
      <c r="F83" s="17" t="n"/>
    </row>
    <row r="84">
      <c r="A84" s="26" t="n">
        <v>46090</v>
      </c>
      <c r="B84" s="17" t="inlineStr">
        <is>
          <t>MOVFONDOS - 7382</t>
        </is>
      </c>
      <c r="C84" s="17" t="inlineStr">
        <is>
          <t>Banco Santander Cta Cte $</t>
        </is>
      </c>
      <c r="D84" s="17" t="inlineStr">
        <is>
          <t>00007650</t>
        </is>
      </c>
      <c r="E84" s="18" t="n">
        <v>195527.71</v>
      </c>
      <c r="F84" s="17" t="n"/>
    </row>
    <row r="85">
      <c r="A85" s="26" t="n">
        <v>46090</v>
      </c>
      <c r="B85" s="17" t="inlineStr">
        <is>
          <t>MOVFONDOS - 7383</t>
        </is>
      </c>
      <c r="C85" s="17" t="inlineStr">
        <is>
          <t>Banco Santander Cta Cte $</t>
        </is>
      </c>
      <c r="D85" s="17" t="inlineStr">
        <is>
          <t>00003588</t>
        </is>
      </c>
      <c r="E85" s="18" t="n">
        <v>597001.8</v>
      </c>
      <c r="F85" s="17" t="n"/>
    </row>
    <row r="86">
      <c r="A86" s="26" t="n">
        <v>46090</v>
      </c>
      <c r="B86" s="17" t="inlineStr">
        <is>
          <t>MOVFONDOS - 7383</t>
        </is>
      </c>
      <c r="C86" s="17" t="inlineStr">
        <is>
          <t>Banco Santander Cta Cte $</t>
        </is>
      </c>
      <c r="D86" s="17" t="inlineStr">
        <is>
          <t>00000679</t>
        </is>
      </c>
      <c r="E86" s="18" t="n">
        <v>590000</v>
      </c>
      <c r="F86" s="17" t="n"/>
    </row>
    <row r="87">
      <c r="A87" s="26" t="n">
        <v>46090</v>
      </c>
      <c r="B87" s="17" t="inlineStr">
        <is>
          <t>MOVFONDOS - 7392</t>
        </is>
      </c>
      <c r="C87" s="17" t="inlineStr">
        <is>
          <t>Banco Santander Cta Cte $</t>
        </is>
      </c>
      <c r="D87" s="17" t="inlineStr">
        <is>
          <t>30715368850  Cnc Donelab Srl  03 1819671</t>
        </is>
      </c>
      <c r="E87" s="18" t="n">
        <v>383868.6</v>
      </c>
      <c r="F87" s="17" t="n"/>
    </row>
    <row r="88">
      <c r="A88" s="26" t="n">
        <v>46090</v>
      </c>
      <c r="B88" s="17" t="inlineStr">
        <is>
          <t>MOVFONDOS - 7393</t>
        </is>
      </c>
      <c r="C88" s="17" t="inlineStr">
        <is>
          <t>Banco Santander Cta Cte $</t>
        </is>
      </c>
      <c r="D88" s="17" t="inlineStr"/>
      <c r="E88" s="17" t="n"/>
      <c r="F88" s="18" t="n">
        <v>26415466.68</v>
      </c>
    </row>
    <row r="89">
      <c r="A89" s="26" t="n">
        <v>46090</v>
      </c>
      <c r="B89" s="17" t="inlineStr">
        <is>
          <t>MOVFONDOS - 7394</t>
        </is>
      </c>
      <c r="C89" s="17" t="inlineStr">
        <is>
          <t>Banco Santander Cta Cte $</t>
        </is>
      </c>
      <c r="D89" s="17" t="inlineStr"/>
      <c r="E89" s="17" t="n"/>
      <c r="F89" s="18" t="n">
        <v>99627.86</v>
      </c>
    </row>
    <row r="90">
      <c r="A90" s="26" t="n">
        <v>46090</v>
      </c>
      <c r="B90" s="17" t="inlineStr">
        <is>
          <t>PAGO - 2969</t>
        </is>
      </c>
      <c r="C90" s="17" t="inlineStr">
        <is>
          <t>Banco Santander Cta Cte $</t>
        </is>
      </c>
      <c r="D90" s="17" t="inlineStr"/>
      <c r="E90" s="17" t="n"/>
      <c r="F90" s="18" t="n">
        <v>124614</v>
      </c>
    </row>
    <row r="91">
      <c r="A91" s="26" t="n">
        <v>46090</v>
      </c>
      <c r="B91" s="17" t="inlineStr">
        <is>
          <t>MOVFONDOS - 7404</t>
        </is>
      </c>
      <c r="C91" s="17" t="inlineStr">
        <is>
          <t>Banco Santander Cta Cte $</t>
        </is>
      </c>
      <c r="D91" s="17" t="inlineStr">
        <is>
          <t>27296849052  Roxana Natalia Polack / Varios - Var /</t>
        </is>
      </c>
      <c r="E91" s="18" t="n">
        <v>20030.88</v>
      </c>
      <c r="F91" s="17" t="n"/>
    </row>
    <row r="92">
      <c r="A92" s="26" t="n">
        <v>46090</v>
      </c>
      <c r="B92" s="17" t="inlineStr">
        <is>
          <t>MOVFONDOS - 7405</t>
        </is>
      </c>
      <c r="C92" s="17" t="inlineStr">
        <is>
          <t>Banco Santander Cta Cte $</t>
        </is>
      </c>
      <c r="D92" s="17" t="inlineStr">
        <is>
          <t>27944736919  Alison Joaquina Mendoza N/ Uala /</t>
        </is>
      </c>
      <c r="E92" s="18" t="n">
        <v>7417</v>
      </c>
      <c r="F92" s="17" t="n"/>
    </row>
    <row r="93">
      <c r="A93" s="26" t="n">
        <v>46090</v>
      </c>
      <c r="B93" s="17" t="inlineStr">
        <is>
          <t>MOVFONDOS - 7406</t>
        </is>
      </c>
      <c r="C93" s="17" t="inlineStr">
        <is>
          <t>Banco Santander Cta Cte $</t>
        </is>
      </c>
      <c r="D93" s="17" t="inlineStr">
        <is>
          <t>30717631133 Apolo Biotech Sas / - Fac /</t>
        </is>
      </c>
      <c r="E93" s="18" t="n">
        <v>276530.8</v>
      </c>
      <c r="F93" s="17" t="n"/>
    </row>
    <row r="94">
      <c r="A94" s="26" t="n">
        <v>46090</v>
      </c>
      <c r="B94" s="17" t="inlineStr">
        <is>
          <t>MOVFONDOS - 7407</t>
        </is>
      </c>
      <c r="C94" s="17" t="inlineStr">
        <is>
          <t>Banco Santander Cta Cte $</t>
        </is>
      </c>
      <c r="D94" s="17" t="inlineStr">
        <is>
          <t>Pago A Proveedores Recibido - Energia Renovable Sa 33711594499 03 3056140</t>
        </is>
      </c>
      <c r="E94" s="18" t="n">
        <v>1221564</v>
      </c>
      <c r="F94" s="17" t="n"/>
    </row>
    <row r="95">
      <c r="A95" s="26" t="n">
        <v>46090</v>
      </c>
      <c r="B95" s="17" t="inlineStr">
        <is>
          <t>MOVFONDOS - 7408</t>
        </is>
      </c>
      <c r="C95" s="17" t="inlineStr">
        <is>
          <t>Banco Santander Cta Cte $</t>
        </is>
      </c>
      <c r="D95" s="17" t="inlineStr">
        <is>
          <t>23455252024 Martinez,ana Clara / Transf - Var /</t>
        </is>
      </c>
      <c r="E95" s="18" t="n">
        <v>4203.18</v>
      </c>
      <c r="F95" s="17" t="n"/>
    </row>
    <row r="96">
      <c r="A96" s="26" t="n">
        <v>46090</v>
      </c>
      <c r="B96" s="17" t="inlineStr">
        <is>
          <t>AGGETNET - 387</t>
        </is>
      </c>
      <c r="C96" s="17" t="inlineStr">
        <is>
          <t>Banco Santander Cta Cte $</t>
        </is>
      </c>
      <c r="D96" s="17" t="inlineStr"/>
      <c r="E96" s="18" t="n">
        <v>119664.46</v>
      </c>
      <c r="F96" s="17" t="n"/>
    </row>
    <row r="97">
      <c r="A97" s="26" t="n">
        <v>46090</v>
      </c>
      <c r="B97" s="17" t="inlineStr">
        <is>
          <t>AGGETNET - 387</t>
        </is>
      </c>
      <c r="C97" s="17" t="inlineStr">
        <is>
          <t>Banco Santander Cta Cte $</t>
        </is>
      </c>
      <c r="D97" s="17" t="inlineStr"/>
      <c r="E97" s="18" t="n">
        <v>709282.98</v>
      </c>
      <c r="F97" s="17" t="n"/>
    </row>
    <row r="98">
      <c r="A98" s="26" t="n">
        <v>46091</v>
      </c>
      <c r="B98" s="17" t="inlineStr">
        <is>
          <t>PAGO - 2971</t>
        </is>
      </c>
      <c r="C98" s="17" t="inlineStr">
        <is>
          <t>Banco Santander Cta Cte $</t>
        </is>
      </c>
      <c r="D98" s="17" t="inlineStr"/>
      <c r="E98" s="17" t="n"/>
      <c r="F98" s="18" t="n">
        <v>177000</v>
      </c>
    </row>
    <row r="99">
      <c r="A99" s="26" t="n">
        <v>46091</v>
      </c>
      <c r="B99" s="17" t="inlineStr">
        <is>
          <t>PAGO - 2972</t>
        </is>
      </c>
      <c r="C99" s="17" t="inlineStr">
        <is>
          <t>Banco Santander Cta Cte $</t>
        </is>
      </c>
      <c r="D99" s="17" t="inlineStr"/>
      <c r="E99" s="17" t="n"/>
      <c r="F99" s="18" t="n">
        <v>155000</v>
      </c>
    </row>
    <row r="100">
      <c r="A100" s="26" t="n">
        <v>46091</v>
      </c>
      <c r="B100" s="17" t="inlineStr">
        <is>
          <t>PAGO - 2973</t>
        </is>
      </c>
      <c r="C100" s="17" t="inlineStr">
        <is>
          <t>Banco Santander Cta Cte $</t>
        </is>
      </c>
      <c r="D100" s="17" t="inlineStr"/>
      <c r="E100" s="17" t="n"/>
      <c r="F100" s="18" t="n">
        <v>131594.76</v>
      </c>
    </row>
    <row r="101">
      <c r="A101" s="26" t="n">
        <v>46091</v>
      </c>
      <c r="B101" s="17" t="inlineStr">
        <is>
          <t>PAGO - 2975</t>
        </is>
      </c>
      <c r="C101" s="17" t="inlineStr">
        <is>
          <t>Banco Santander Cta Cte $</t>
        </is>
      </c>
      <c r="D101" s="17" t="inlineStr"/>
      <c r="E101" s="17" t="n"/>
      <c r="F101" s="18" t="n">
        <v>110958.19</v>
      </c>
    </row>
    <row r="102">
      <c r="A102" s="26" t="n">
        <v>46091</v>
      </c>
      <c r="B102" s="17" t="inlineStr">
        <is>
          <t>PAGO - 2976</t>
        </is>
      </c>
      <c r="C102" s="17" t="inlineStr">
        <is>
          <t>Banco Santander Cta Cte $</t>
        </is>
      </c>
      <c r="D102" s="17" t="inlineStr"/>
      <c r="E102" s="17" t="n"/>
      <c r="F102" s="18" t="n">
        <v>28484.75</v>
      </c>
    </row>
    <row r="103">
      <c r="A103" s="26" t="n">
        <v>46091</v>
      </c>
      <c r="B103" s="17" t="inlineStr">
        <is>
          <t>PAGO - 2977</t>
        </is>
      </c>
      <c r="C103" s="17" t="inlineStr">
        <is>
          <t>Banco Santander Cta Cte $</t>
        </is>
      </c>
      <c r="D103" s="17" t="inlineStr"/>
      <c r="E103" s="17" t="n"/>
      <c r="F103" s="18" t="n">
        <v>39649.05</v>
      </c>
    </row>
    <row r="104">
      <c r="A104" s="26" t="n">
        <v>46091</v>
      </c>
      <c r="B104" s="17" t="inlineStr">
        <is>
          <t>PAGO - 2978</t>
        </is>
      </c>
      <c r="C104" s="17" t="inlineStr">
        <is>
          <t>Banco Santander Cta Cte $</t>
        </is>
      </c>
      <c r="D104" s="17" t="inlineStr"/>
      <c r="E104" s="17" t="n"/>
      <c r="F104" s="18" t="n">
        <v>115531.85</v>
      </c>
    </row>
    <row r="105">
      <c r="A105" s="26" t="n">
        <v>46091</v>
      </c>
      <c r="B105" s="17" t="inlineStr">
        <is>
          <t>PAGO - 2979</t>
        </is>
      </c>
      <c r="C105" s="17" t="inlineStr">
        <is>
          <t>Banco Santander Cta Cte $</t>
        </is>
      </c>
      <c r="D105" s="17" t="inlineStr"/>
      <c r="E105" s="17" t="n"/>
      <c r="F105" s="18" t="n">
        <v>30594.97</v>
      </c>
    </row>
    <row r="106">
      <c r="A106" s="26" t="n">
        <v>46091</v>
      </c>
      <c r="B106" s="17" t="inlineStr">
        <is>
          <t>PAGO - 2980</t>
        </is>
      </c>
      <c r="C106" s="17" t="inlineStr">
        <is>
          <t>Banco Santander Cta Cte $</t>
        </is>
      </c>
      <c r="D106" s="17" t="inlineStr"/>
      <c r="E106" s="17" t="n"/>
      <c r="F106" s="18" t="n">
        <v>559668.6800000001</v>
      </c>
    </row>
    <row r="107">
      <c r="A107" s="26" t="n">
        <v>46091</v>
      </c>
      <c r="B107" s="17" t="inlineStr">
        <is>
          <t>PAGO - 2981</t>
        </is>
      </c>
      <c r="C107" s="17" t="inlineStr">
        <is>
          <t>Banco Santander Cta Cte $</t>
        </is>
      </c>
      <c r="D107" s="17" t="inlineStr"/>
      <c r="E107" s="17" t="n"/>
      <c r="F107" s="18" t="n">
        <v>1545864.54</v>
      </c>
    </row>
    <row r="108">
      <c r="A108" s="26" t="n">
        <v>46091</v>
      </c>
      <c r="B108" s="17" t="inlineStr">
        <is>
          <t>PAGO - 2982</t>
        </is>
      </c>
      <c r="C108" s="17" t="inlineStr">
        <is>
          <t>Banco Santander Cta Cte $</t>
        </is>
      </c>
      <c r="D108" s="17" t="inlineStr"/>
      <c r="E108" s="17" t="n"/>
      <c r="F108" s="18" t="n">
        <v>292327.04</v>
      </c>
    </row>
    <row r="109">
      <c r="A109" s="26" t="n">
        <v>46091</v>
      </c>
      <c r="B109" s="17" t="inlineStr">
        <is>
          <t>PAGO - 2983</t>
        </is>
      </c>
      <c r="C109" s="17" t="inlineStr">
        <is>
          <t>Banco Santander Cta Cte $</t>
        </is>
      </c>
      <c r="D109" s="17" t="inlineStr"/>
      <c r="E109" s="17" t="n"/>
      <c r="F109" s="18" t="n">
        <v>404268.98</v>
      </c>
    </row>
    <row r="110">
      <c r="A110" s="26" t="n">
        <v>46091</v>
      </c>
      <c r="B110" s="17" t="inlineStr">
        <is>
          <t>PAGO - 2984</t>
        </is>
      </c>
      <c r="C110" s="17" t="inlineStr">
        <is>
          <t>Banco Santander Cta Cte $</t>
        </is>
      </c>
      <c r="D110" s="17" t="inlineStr"/>
      <c r="E110" s="17" t="n"/>
      <c r="F110" s="18" t="n">
        <v>84000</v>
      </c>
    </row>
    <row r="111">
      <c r="A111" s="26" t="n">
        <v>46091</v>
      </c>
      <c r="B111" s="17" t="inlineStr">
        <is>
          <t>PAGO - 2985</t>
        </is>
      </c>
      <c r="C111" s="17" t="inlineStr">
        <is>
          <t>Banco Santander Cta Cte $</t>
        </is>
      </c>
      <c r="D111" s="17" t="inlineStr"/>
      <c r="E111" s="17" t="n"/>
      <c r="F111" s="18" t="n">
        <v>862730</v>
      </c>
    </row>
    <row r="112">
      <c r="A112" s="26" t="n">
        <v>46091</v>
      </c>
      <c r="B112" s="17" t="inlineStr">
        <is>
          <t>PAGO - 2986</t>
        </is>
      </c>
      <c r="C112" s="17" t="inlineStr">
        <is>
          <t>Banco Santander Cta Cte $</t>
        </is>
      </c>
      <c r="D112" s="17" t="inlineStr"/>
      <c r="E112" s="17" t="n"/>
      <c r="F112" s="18" t="n">
        <v>459242.49</v>
      </c>
    </row>
    <row r="113">
      <c r="A113" s="26" t="n">
        <v>46091</v>
      </c>
      <c r="B113" s="17" t="inlineStr">
        <is>
          <t>MOVFONDOS - 7409</t>
        </is>
      </c>
      <c r="C113" s="17" t="inlineStr">
        <is>
          <t>Banco Santander Cta Cte $</t>
        </is>
      </c>
      <c r="D113" s="17" t="inlineStr">
        <is>
          <t>30707509356 Chemit Argentina Srl / Varios - Var /</t>
        </is>
      </c>
      <c r="E113" s="18" t="n">
        <v>1024647.4</v>
      </c>
      <c r="F113" s="17" t="n"/>
    </row>
    <row r="114">
      <c r="A114" s="26" t="n">
        <v>46091</v>
      </c>
      <c r="B114" s="17" t="inlineStr">
        <is>
          <t>MOVFONDOS - 7410</t>
        </is>
      </c>
      <c r="C114" s="17" t="inlineStr">
        <is>
          <t>Banco Santander Cta Cte $</t>
        </is>
      </c>
      <c r="D114" s="17" t="inlineStr">
        <is>
          <t>30577357532 Univ.nac.de S.luis / Op 915 - Var /</t>
        </is>
      </c>
      <c r="E114" s="18" t="n">
        <v>236436.76</v>
      </c>
      <c r="F114" s="17" t="n"/>
    </row>
    <row r="115">
      <c r="A115" s="26" t="n">
        <v>46091</v>
      </c>
      <c r="B115" s="17" t="inlineStr">
        <is>
          <t>MOVFONDOS - 7412</t>
        </is>
      </c>
      <c r="C115" s="17" t="inlineStr">
        <is>
          <t>Banco Santander Cta Cte $</t>
        </is>
      </c>
      <c r="D115" s="17" t="inlineStr"/>
      <c r="E115" s="18" t="n">
        <v>71602999.81999999</v>
      </c>
      <c r="F115" s="17" t="n"/>
    </row>
    <row r="116">
      <c r="A116" s="26" t="n">
        <v>46091</v>
      </c>
      <c r="B116" s="17" t="inlineStr">
        <is>
          <t>MOVFONDOS - 7414</t>
        </is>
      </c>
      <c r="C116" s="17" t="inlineStr">
        <is>
          <t>Banco Santander Cta Cte $</t>
        </is>
      </c>
      <c r="D116" s="17" t="inlineStr"/>
      <c r="E116" s="17" t="n"/>
      <c r="F116" s="18" t="n">
        <v>70000000</v>
      </c>
    </row>
    <row r="117">
      <c r="A117" s="26" t="n">
        <v>46091</v>
      </c>
      <c r="B117" s="17" t="inlineStr">
        <is>
          <t>MOVFONDOS - 7415</t>
        </is>
      </c>
      <c r="C117" s="17" t="inlineStr">
        <is>
          <t>Banco Santander Cta Cte $</t>
        </is>
      </c>
      <c r="D117" s="17" t="inlineStr"/>
      <c r="E117" s="18" t="n">
        <v>100000000</v>
      </c>
      <c r="F117" s="17" t="n"/>
    </row>
    <row r="118">
      <c r="A118" s="26" t="n">
        <v>46091</v>
      </c>
      <c r="B118" s="17" t="inlineStr">
        <is>
          <t>MOVFONDOS - 7417</t>
        </is>
      </c>
      <c r="C118" s="17" t="inlineStr">
        <is>
          <t>Banco Santander Cta Cte $</t>
        </is>
      </c>
      <c r="D118" s="17" t="inlineStr"/>
      <c r="E118" s="17" t="n"/>
      <c r="F118" s="18" t="n">
        <v>100000000</v>
      </c>
    </row>
    <row r="119">
      <c r="A119" s="26" t="n">
        <v>46091</v>
      </c>
      <c r="B119" s="17" t="inlineStr">
        <is>
          <t>MOVFONDOS - 7418</t>
        </is>
      </c>
      <c r="C119" s="17" t="inlineStr">
        <is>
          <t>Banco Santander Cta Cte $</t>
        </is>
      </c>
      <c r="D119" s="17" t="inlineStr"/>
      <c r="E119" s="18" t="n">
        <v>1000000</v>
      </c>
      <c r="F119" s="17" t="n"/>
    </row>
    <row r="120">
      <c r="A120" s="26" t="n">
        <v>46091</v>
      </c>
      <c r="B120" s="17" t="inlineStr">
        <is>
          <t>MOVFONDOS - 7419</t>
        </is>
      </c>
      <c r="C120" s="17" t="inlineStr">
        <is>
          <t>Banco Santander Cta Cte $</t>
        </is>
      </c>
      <c r="D120" s="17" t="inlineStr"/>
      <c r="E120" s="18" t="n">
        <v>1000000</v>
      </c>
      <c r="F120" s="17" t="n"/>
    </row>
    <row r="121">
      <c r="A121" s="26" t="n">
        <v>46091</v>
      </c>
      <c r="B121" s="17" t="inlineStr">
        <is>
          <t>MOVFONDOS - 7423</t>
        </is>
      </c>
      <c r="C121" s="17" t="inlineStr">
        <is>
          <t>Banco Santander Cta Cte $</t>
        </is>
      </c>
      <c r="D121" s="17" t="inlineStr">
        <is>
          <t>30522947632 Ricardo Bueloni Y Cia / Factura - Fac /</t>
        </is>
      </c>
      <c r="E121" s="18" t="n">
        <v>929482.2</v>
      </c>
      <c r="F121" s="17" t="n"/>
    </row>
    <row r="122">
      <c r="A122" s="26" t="n">
        <v>46091</v>
      </c>
      <c r="B122" s="17" t="inlineStr">
        <is>
          <t>MOVFONDOS - 7424</t>
        </is>
      </c>
      <c r="C122" s="17" t="inlineStr">
        <is>
          <t>Banco Santander Cta Cte $</t>
        </is>
      </c>
      <c r="D122" s="17" t="inlineStr"/>
      <c r="E122" s="17" t="n"/>
      <c r="F122" s="18" t="n">
        <v>866549.5600000001</v>
      </c>
    </row>
    <row r="123">
      <c r="A123" s="26" t="n">
        <v>46091</v>
      </c>
      <c r="B123" s="17" t="inlineStr">
        <is>
          <t>MOVFONDOS - 7425</t>
        </is>
      </c>
      <c r="C123" s="17" t="inlineStr">
        <is>
          <t>Banco Santander Cta Cte $</t>
        </is>
      </c>
      <c r="D123" s="17" t="inlineStr"/>
      <c r="E123" s="17" t="n"/>
      <c r="F123" s="18" t="n">
        <v>121416.31</v>
      </c>
    </row>
    <row r="124">
      <c r="A124" s="26" t="n">
        <v>46091</v>
      </c>
      <c r="B124" s="17" t="inlineStr">
        <is>
          <t>MOVFONDOS - 7426</t>
        </is>
      </c>
      <c r="C124" s="17" t="inlineStr">
        <is>
          <t>Banco Santander Cta Cte $</t>
        </is>
      </c>
      <c r="D124" s="17" t="inlineStr"/>
      <c r="E124" s="17" t="n"/>
      <c r="F124" s="18" t="n">
        <v>221006.25</v>
      </c>
    </row>
    <row r="125">
      <c r="A125" s="26" t="n">
        <v>46091</v>
      </c>
      <c r="B125" s="17" t="inlineStr">
        <is>
          <t>MOVFONDOS - 7427</t>
        </is>
      </c>
      <c r="C125" s="17" t="inlineStr">
        <is>
          <t>Banco Santander Cta Cte $</t>
        </is>
      </c>
      <c r="D125" s="17" t="inlineStr"/>
      <c r="E125" s="17" t="n"/>
      <c r="F125" s="18" t="n">
        <v>67157.39999999999</v>
      </c>
    </row>
    <row r="126">
      <c r="A126" s="26" t="n">
        <v>46091</v>
      </c>
      <c r="B126" s="17" t="inlineStr">
        <is>
          <t>MOVFONDOS - 7427</t>
        </is>
      </c>
      <c r="C126" s="17" t="inlineStr">
        <is>
          <t>Banco Santander Cta Cte $</t>
        </is>
      </c>
      <c r="D126" s="17" t="inlineStr"/>
      <c r="E126" s="17" t="n"/>
      <c r="F126" s="18" t="n">
        <v>851003.8</v>
      </c>
    </row>
    <row r="127">
      <c r="A127" s="26" t="n">
        <v>46091</v>
      </c>
      <c r="B127" s="17" t="inlineStr">
        <is>
          <t>MOVFONDOS - 7428</t>
        </is>
      </c>
      <c r="C127" s="17" t="inlineStr">
        <is>
          <t>Banco Santander Cta Cte $</t>
        </is>
      </c>
      <c r="D127" s="17" t="inlineStr"/>
      <c r="E127" s="17" t="n"/>
      <c r="F127" s="18" t="n">
        <v>1487064</v>
      </c>
    </row>
    <row r="128">
      <c r="A128" s="26" t="n">
        <v>46091</v>
      </c>
      <c r="B128" s="17" t="inlineStr">
        <is>
          <t>MOVFONDOS - 7429</t>
        </is>
      </c>
      <c r="C128" s="17" t="inlineStr">
        <is>
          <t>Banco Santander Cta Cte $</t>
        </is>
      </c>
      <c r="D128" s="17" t="inlineStr"/>
      <c r="E128" s="17" t="n"/>
      <c r="F128" s="18" t="n">
        <v>649197.59</v>
      </c>
    </row>
    <row r="129">
      <c r="A129" s="26" t="n">
        <v>46091</v>
      </c>
      <c r="B129" s="17" t="inlineStr">
        <is>
          <t>AGGETNET - 388</t>
        </is>
      </c>
      <c r="C129" s="17" t="inlineStr">
        <is>
          <t>Banco Santander Cta Cte $</t>
        </is>
      </c>
      <c r="D129" s="17" t="inlineStr"/>
      <c r="E129" s="18" t="n">
        <v>253589.73</v>
      </c>
      <c r="F129" s="17" t="n"/>
    </row>
    <row r="130">
      <c r="A130" s="26" t="n">
        <v>46091</v>
      </c>
      <c r="B130" s="17" t="inlineStr">
        <is>
          <t>AGGETNET - 388</t>
        </is>
      </c>
      <c r="C130" s="17" t="inlineStr">
        <is>
          <t>Banco Santander Cta Cte $</t>
        </is>
      </c>
      <c r="D130" s="17" t="inlineStr"/>
      <c r="E130" s="18" t="n">
        <v>58802.63</v>
      </c>
      <c r="F130" s="17" t="n"/>
    </row>
    <row r="131">
      <c r="A131" s="26" t="n">
        <v>46091</v>
      </c>
      <c r="B131" s="17" t="inlineStr">
        <is>
          <t>MOVFONDOS - 7443</t>
        </is>
      </c>
      <c r="C131" s="17" t="inlineStr">
        <is>
          <t>Banco Santander Cta Cte $</t>
        </is>
      </c>
      <c r="D131" s="17" t="inlineStr">
        <is>
          <t>20406421393 Carlos Hernan Gauna / Lemon /</t>
        </is>
      </c>
      <c r="E131" s="18" t="n">
        <v>26894.33</v>
      </c>
      <c r="F131" s="17" t="n"/>
    </row>
    <row r="132">
      <c r="A132" s="26" t="n">
        <v>46091</v>
      </c>
      <c r="B132" s="17" t="inlineStr">
        <is>
          <t>MOVFONDOS - 7444</t>
        </is>
      </c>
      <c r="C132" s="17" t="inlineStr">
        <is>
          <t>Banco Santander Cta Cte $</t>
        </is>
      </c>
      <c r="D132" s="17" t="inlineStr">
        <is>
          <t>20346311496  Mario Kinderknecht / Prex /</t>
        </is>
      </c>
      <c r="E132" s="18" t="n">
        <v>13001.79</v>
      </c>
      <c r="F132" s="17" t="n"/>
    </row>
    <row r="133">
      <c r="A133" s="26" t="n">
        <v>46091</v>
      </c>
      <c r="B133" s="17" t="inlineStr">
        <is>
          <t>MOVFONDOS - 7445</t>
        </is>
      </c>
      <c r="C133" s="17" t="inlineStr">
        <is>
          <t>Banco Santander Cta Cte $</t>
        </is>
      </c>
      <c r="D133" s="17" t="inlineStr">
        <is>
          <t>30652097525  Fundacion De Investiga / H1 - Fac /</t>
        </is>
      </c>
      <c r="E133" s="18" t="n">
        <v>718310.78</v>
      </c>
      <c r="F133" s="17" t="n"/>
    </row>
    <row r="134">
      <c r="A134" s="26" t="n">
        <v>46091</v>
      </c>
      <c r="B134" s="17" t="inlineStr">
        <is>
          <t>MOVFONDOS - 7446</t>
        </is>
      </c>
      <c r="C134" s="17" t="inlineStr">
        <is>
          <t>Banco Santander Cta Cte $</t>
        </is>
      </c>
      <c r="D134" s="17" t="inlineStr">
        <is>
          <t>20332361504  Pablo Martin Blasco / Personal Pay /</t>
        </is>
      </c>
      <c r="E134" s="18" t="n">
        <v>23858.03</v>
      </c>
      <c r="F134" s="17" t="n"/>
    </row>
    <row r="135">
      <c r="A135" s="26" t="n">
        <v>46091</v>
      </c>
      <c r="B135" s="17" t="inlineStr">
        <is>
          <t>MOVFONDOS - 7447</t>
        </is>
      </c>
      <c r="C135" s="17" t="inlineStr">
        <is>
          <t>Banco Santander Cta Cte $</t>
        </is>
      </c>
      <c r="D135" s="17" t="inlineStr">
        <is>
          <t>30699660376  Marpama S.a. 03 0248566</t>
        </is>
      </c>
      <c r="E135" s="18" t="n">
        <v>548459.8</v>
      </c>
      <c r="F135" s="17" t="n"/>
    </row>
    <row r="136">
      <c r="A136" s="26" t="n">
        <v>46092</v>
      </c>
      <c r="B136" s="17" t="inlineStr">
        <is>
          <t>PAGO - 2995</t>
        </is>
      </c>
      <c r="C136" s="17" t="inlineStr">
        <is>
          <t>Banco Santander Cta Cte $</t>
        </is>
      </c>
      <c r="D136" s="17" t="inlineStr"/>
      <c r="E136" s="17" t="n"/>
      <c r="F136" s="18" t="n">
        <v>98555.03</v>
      </c>
    </row>
    <row r="137">
      <c r="A137" s="26" t="n">
        <v>46092</v>
      </c>
      <c r="B137" s="17" t="inlineStr">
        <is>
          <t>MOVFONDOS - 7451</t>
        </is>
      </c>
      <c r="C137" s="17" t="inlineStr">
        <is>
          <t>Banco Santander Cta Cte $</t>
        </is>
      </c>
      <c r="D137" s="17" t="inlineStr">
        <is>
          <t>30715717723 Redilab Sa  03 3223148</t>
        </is>
      </c>
      <c r="E137" s="18" t="n">
        <v>696513.49</v>
      </c>
      <c r="F137" s="17" t="n"/>
    </row>
    <row r="138">
      <c r="A138" s="26" t="n">
        <v>46092</v>
      </c>
      <c r="B138" s="17" t="inlineStr">
        <is>
          <t>MOVFONDOS - 7452</t>
        </is>
      </c>
      <c r="C138" s="17" t="inlineStr">
        <is>
          <t>Banco Santander Cta Cte $</t>
        </is>
      </c>
      <c r="D138" s="17" t="inlineStr">
        <is>
          <t>27447601716 N/a Zapata Portillo / - Var /</t>
        </is>
      </c>
      <c r="E138" s="18" t="n">
        <v>4113.12</v>
      </c>
      <c r="F138" s="17" t="n"/>
    </row>
    <row r="139">
      <c r="A139" s="26" t="n">
        <v>46092</v>
      </c>
      <c r="B139" s="17" t="inlineStr">
        <is>
          <t>MOVFONDOS - 7453</t>
        </is>
      </c>
      <c r="C139" s="17" t="inlineStr">
        <is>
          <t>Banco Santander Cta Cte $</t>
        </is>
      </c>
      <c r="D139" s="17" t="inlineStr">
        <is>
          <t>30717310000 Noveco Srl  03 0211824</t>
        </is>
      </c>
      <c r="E139" s="18" t="n">
        <v>321928.5</v>
      </c>
      <c r="F139" s="17" t="n"/>
    </row>
    <row r="140">
      <c r="A140" s="26" t="n">
        <v>46092</v>
      </c>
      <c r="B140" s="17" t="inlineStr">
        <is>
          <t>MOVFONDOS - 7454</t>
        </is>
      </c>
      <c r="C140" s="17" t="inlineStr">
        <is>
          <t>Banco Santander Cta Cte $</t>
        </is>
      </c>
      <c r="D140" s="17" t="inlineStr">
        <is>
          <t>000001140</t>
        </is>
      </c>
      <c r="E140" s="18" t="n">
        <v>67325.35000000001</v>
      </c>
      <c r="F140" s="17" t="n"/>
    </row>
    <row r="141">
      <c r="A141" s="26" t="n">
        <v>46092</v>
      </c>
      <c r="B141" s="17" t="inlineStr">
        <is>
          <t>MOVFONDOS - 7454</t>
        </is>
      </c>
      <c r="C141" s="17" t="inlineStr">
        <is>
          <t>Banco Santander Cta Cte $</t>
        </is>
      </c>
      <c r="D141" s="17" t="inlineStr">
        <is>
          <t>00005995</t>
        </is>
      </c>
      <c r="E141" s="18" t="n">
        <v>398540</v>
      </c>
      <c r="F141" s="17" t="n"/>
    </row>
    <row r="142">
      <c r="A142" s="26" t="n">
        <v>46092</v>
      </c>
      <c r="B142" s="17" t="inlineStr">
        <is>
          <t>MOVFONDOS - 7454</t>
        </is>
      </c>
      <c r="C142" s="17" t="inlineStr">
        <is>
          <t>Banco Santander Cta Cte $</t>
        </is>
      </c>
      <c r="D142" s="17" t="inlineStr">
        <is>
          <t>00010956</t>
        </is>
      </c>
      <c r="E142" s="18" t="n">
        <v>1061307.1</v>
      </c>
      <c r="F142" s="17" t="n"/>
    </row>
    <row r="143">
      <c r="A143" s="26" t="n">
        <v>46092</v>
      </c>
      <c r="B143" s="17" t="inlineStr">
        <is>
          <t>MOVFONDOS - 7454</t>
        </is>
      </c>
      <c r="C143" s="17" t="inlineStr">
        <is>
          <t>Banco Santander Cta Cte $</t>
        </is>
      </c>
      <c r="D143" s="17" t="inlineStr">
        <is>
          <t>80095795</t>
        </is>
      </c>
      <c r="E143" s="18" t="n">
        <v>520001.75</v>
      </c>
      <c r="F143" s="17" t="n"/>
    </row>
    <row r="144">
      <c r="A144" s="26" t="n">
        <v>46092</v>
      </c>
      <c r="B144" s="17" t="inlineStr">
        <is>
          <t>MOVFONDOS - 7454</t>
        </is>
      </c>
      <c r="C144" s="17" t="inlineStr">
        <is>
          <t>Banco Santander Cta Cte $</t>
        </is>
      </c>
      <c r="D144" s="17" t="inlineStr">
        <is>
          <t>00006955</t>
        </is>
      </c>
      <c r="E144" s="18" t="n">
        <v>80789.89999999999</v>
      </c>
      <c r="F144" s="17" t="n"/>
    </row>
    <row r="145">
      <c r="A145" s="26" t="n">
        <v>46092</v>
      </c>
      <c r="B145" s="17" t="inlineStr">
        <is>
          <t>MOVFONDOS - 7454</t>
        </is>
      </c>
      <c r="C145" s="17" t="inlineStr">
        <is>
          <t>Banco Santander Cta Cte $</t>
        </is>
      </c>
      <c r="D145" s="17" t="inlineStr">
        <is>
          <t>00001831</t>
        </is>
      </c>
      <c r="E145" s="18" t="n">
        <v>629304.9</v>
      </c>
      <c r="F145" s="17" t="n"/>
    </row>
    <row r="146">
      <c r="A146" s="26" t="n">
        <v>46092</v>
      </c>
      <c r="B146" s="17" t="inlineStr">
        <is>
          <t>MOVFONDOS - 7454</t>
        </is>
      </c>
      <c r="C146" s="17" t="inlineStr">
        <is>
          <t>Banco Santander Cta Cte $</t>
        </is>
      </c>
      <c r="D146" s="17" t="inlineStr">
        <is>
          <t>06614696</t>
        </is>
      </c>
      <c r="E146" s="18" t="n">
        <v>1445031.5</v>
      </c>
      <c r="F146" s="17" t="n"/>
    </row>
    <row r="147">
      <c r="A147" s="26" t="n">
        <v>46092</v>
      </c>
      <c r="B147" s="17" t="inlineStr">
        <is>
          <t>MOVFONDOS - 7455</t>
        </is>
      </c>
      <c r="C147" s="17" t="inlineStr">
        <is>
          <t>Banco Santander Cta Cte $</t>
        </is>
      </c>
      <c r="D147" s="17" t="inlineStr">
        <is>
          <t>30717445917 International Argenetics Lab  03 0105270</t>
        </is>
      </c>
      <c r="E147" s="18" t="n">
        <v>1161787.7</v>
      </c>
      <c r="F147" s="17" t="n"/>
    </row>
    <row r="148">
      <c r="A148" s="26" t="n">
        <v>46092</v>
      </c>
      <c r="B148" s="17" t="inlineStr">
        <is>
          <t>MOVFONDOS - 7456</t>
        </is>
      </c>
      <c r="C148" s="17" t="inlineStr">
        <is>
          <t>Banco Santander Cta Cte $</t>
        </is>
      </c>
      <c r="D148" s="17" t="inlineStr">
        <is>
          <t>27459947979  Monzon, Sofia Lihuen / Compra Web - Var /</t>
        </is>
      </c>
      <c r="E148" s="18" t="n">
        <v>14175.15</v>
      </c>
      <c r="F148" s="17" t="n"/>
    </row>
    <row r="149">
      <c r="A149" s="26" t="n">
        <v>46092</v>
      </c>
      <c r="B149" s="17" t="inlineStr">
        <is>
          <t>MOVFONDOS - 7457</t>
        </is>
      </c>
      <c r="C149" s="17" t="inlineStr">
        <is>
          <t>Banco Santander Cta Cte $</t>
        </is>
      </c>
      <c r="D149" s="17" t="inlineStr">
        <is>
          <t>30546666561 Universidad Bs As F. De Agron  03 6284049</t>
        </is>
      </c>
      <c r="E149" s="18" t="n">
        <v>577419.27</v>
      </c>
      <c r="F149" s="17" t="n"/>
    </row>
    <row r="150">
      <c r="A150" s="26" t="n">
        <v>46092</v>
      </c>
      <c r="B150" s="17" t="inlineStr">
        <is>
          <t>MOVFONDOS - 7458</t>
        </is>
      </c>
      <c r="C150" s="17" t="inlineStr">
        <is>
          <t>Banco Santander Cta Cte $</t>
        </is>
      </c>
      <c r="D150" s="17" t="inlineStr">
        <is>
          <t>33634683319 Surplast Sa  03 3290479</t>
        </is>
      </c>
      <c r="E150" s="18" t="n">
        <v>978202.4</v>
      </c>
      <c r="F150" s="17" t="n"/>
    </row>
    <row r="151">
      <c r="A151" s="26" t="n">
        <v>46092</v>
      </c>
      <c r="B151" s="17" t="inlineStr">
        <is>
          <t>MOVFONDOS - 7459</t>
        </is>
      </c>
      <c r="C151" s="17" t="inlineStr">
        <is>
          <t>Banco Santander Cta Cte $</t>
        </is>
      </c>
      <c r="D151" s="17" t="inlineStr"/>
      <c r="E151" s="17" t="n"/>
      <c r="F151" s="18" t="n">
        <v>4500000</v>
      </c>
    </row>
    <row r="152">
      <c r="A152" s="26" t="n">
        <v>46092</v>
      </c>
      <c r="B152" s="17" t="inlineStr">
        <is>
          <t>MOVFONDOS - 7460</t>
        </is>
      </c>
      <c r="C152" s="17" t="inlineStr">
        <is>
          <t>Banco Santander Cta Cte $</t>
        </is>
      </c>
      <c r="D152" s="17" t="inlineStr">
        <is>
          <t>30711394105  Fundacion Sol Puntan O / H36871 - Var /</t>
        </is>
      </c>
      <c r="E152" s="18" t="n">
        <v>565773.0699999999</v>
      </c>
      <c r="F152" s="17" t="n"/>
    </row>
    <row r="153">
      <c r="A153" s="26" t="n">
        <v>46092</v>
      </c>
      <c r="B153" s="17" t="inlineStr">
        <is>
          <t>AGGETNET - 389</t>
        </is>
      </c>
      <c r="C153" s="17" t="inlineStr">
        <is>
          <t>Banco Santander Cta Cte $</t>
        </is>
      </c>
      <c r="D153" s="17" t="inlineStr"/>
      <c r="E153" s="18" t="n">
        <v>10485.64</v>
      </c>
      <c r="F153" s="17" t="n"/>
    </row>
    <row r="154">
      <c r="A154" s="26" t="n">
        <v>46092</v>
      </c>
      <c r="B154" s="17" t="inlineStr">
        <is>
          <t>AGGETNET - 389</t>
        </is>
      </c>
      <c r="C154" s="17" t="inlineStr">
        <is>
          <t>Banco Santander Cta Cte $</t>
        </is>
      </c>
      <c r="D154" s="17" t="inlineStr"/>
      <c r="E154" s="18" t="n">
        <v>123679.1</v>
      </c>
      <c r="F154" s="17" t="n"/>
    </row>
    <row r="155">
      <c r="A155" s="26" t="n">
        <v>46093</v>
      </c>
      <c r="B155" s="17" t="inlineStr">
        <is>
          <t>PAGO - 2999</t>
        </is>
      </c>
      <c r="C155" s="17" t="inlineStr">
        <is>
          <t>Banco Santander Cta Cte $</t>
        </is>
      </c>
      <c r="D155" s="17" t="inlineStr"/>
      <c r="E155" s="17" t="n"/>
      <c r="F155" s="18" t="n">
        <v>902000</v>
      </c>
    </row>
    <row r="156">
      <c r="A156" s="26" t="n">
        <v>46093</v>
      </c>
      <c r="B156" s="17" t="inlineStr">
        <is>
          <t>PAGO - 3000</t>
        </is>
      </c>
      <c r="C156" s="17" t="inlineStr">
        <is>
          <t>Banco Santander Cta Cte $</t>
        </is>
      </c>
      <c r="D156" s="17" t="inlineStr"/>
      <c r="E156" s="17" t="n"/>
      <c r="F156" s="18" t="n">
        <v>210267.75</v>
      </c>
    </row>
    <row r="157">
      <c r="A157" s="26" t="n">
        <v>46093</v>
      </c>
      <c r="B157" s="17" t="inlineStr">
        <is>
          <t>PAGO - 3001</t>
        </is>
      </c>
      <c r="C157" s="17" t="inlineStr">
        <is>
          <t>Banco Santander Cta Cte $</t>
        </is>
      </c>
      <c r="D157" s="17" t="inlineStr"/>
      <c r="E157" s="17" t="n"/>
      <c r="F157" s="18" t="n">
        <v>49965.71</v>
      </c>
    </row>
    <row r="158">
      <c r="A158" s="26" t="n">
        <v>46093</v>
      </c>
      <c r="B158" s="17" t="inlineStr">
        <is>
          <t>PAGO - 3002</t>
        </is>
      </c>
      <c r="C158" s="17" t="inlineStr">
        <is>
          <t>Banco Santander Cta Cte $</t>
        </is>
      </c>
      <c r="D158" s="17" t="inlineStr"/>
      <c r="E158" s="17" t="n"/>
      <c r="F158" s="18" t="n">
        <v>1436365.77</v>
      </c>
    </row>
    <row r="159">
      <c r="A159" s="26" t="n">
        <v>46093</v>
      </c>
      <c r="B159" s="17" t="inlineStr">
        <is>
          <t>PAGO - 3003</t>
        </is>
      </c>
      <c r="C159" s="17" t="inlineStr">
        <is>
          <t>Banco Santander Cta Cte $</t>
        </is>
      </c>
      <c r="D159" s="17" t="inlineStr"/>
      <c r="E159" s="17" t="n"/>
      <c r="F159" s="18" t="n">
        <v>623535.9300000001</v>
      </c>
    </row>
    <row r="160">
      <c r="A160" s="26" t="n">
        <v>46093</v>
      </c>
      <c r="B160" s="17" t="inlineStr">
        <is>
          <t>PAGO - 3004</t>
        </is>
      </c>
      <c r="C160" s="17" t="inlineStr">
        <is>
          <t>Banco Santander Cta Cte $</t>
        </is>
      </c>
      <c r="D160" s="17" t="inlineStr"/>
      <c r="E160" s="17" t="n"/>
      <c r="F160" s="18" t="n">
        <v>490959.39</v>
      </c>
    </row>
    <row r="161">
      <c r="A161" s="26" t="n">
        <v>46093</v>
      </c>
      <c r="B161" s="17" t="inlineStr">
        <is>
          <t>PAGO - 3005</t>
        </is>
      </c>
      <c r="C161" s="17" t="inlineStr">
        <is>
          <t>Banco Santander Cta Cte $</t>
        </is>
      </c>
      <c r="D161" s="17" t="inlineStr"/>
      <c r="E161" s="17" t="n"/>
      <c r="F161" s="18" t="n">
        <v>487018.92</v>
      </c>
    </row>
    <row r="162">
      <c r="A162" s="26" t="n">
        <v>46093</v>
      </c>
      <c r="B162" s="17" t="inlineStr">
        <is>
          <t>PAGO - 3007</t>
        </is>
      </c>
      <c r="C162" s="17" t="inlineStr">
        <is>
          <t>Banco Santander Cta Cte $</t>
        </is>
      </c>
      <c r="D162" s="17" t="inlineStr"/>
      <c r="E162" s="17" t="n"/>
      <c r="F162" s="18" t="n">
        <v>500000</v>
      </c>
    </row>
    <row r="163">
      <c r="A163" s="26" t="n">
        <v>46093</v>
      </c>
      <c r="B163" s="17" t="inlineStr">
        <is>
          <t>MOVFONDOS - 7465</t>
        </is>
      </c>
      <c r="C163" s="17" t="inlineStr">
        <is>
          <t>Banco Santander Cta Cte $</t>
        </is>
      </c>
      <c r="D163" s="17" t="inlineStr"/>
      <c r="E163" s="18" t="n">
        <v>1000000</v>
      </c>
      <c r="F163" s="17" t="n"/>
    </row>
    <row r="164">
      <c r="A164" s="26" t="n">
        <v>46093</v>
      </c>
      <c r="B164" s="17" t="inlineStr">
        <is>
          <t>MOVFONDOS - 7467</t>
        </is>
      </c>
      <c r="C164" s="17" t="inlineStr">
        <is>
          <t>Banco Santander Cta Cte $</t>
        </is>
      </c>
      <c r="D164" s="17" t="inlineStr">
        <is>
          <t>30577357532 Univ.nac.de S.luis / Op 954 - Var /</t>
        </is>
      </c>
      <c r="E164" s="18" t="n">
        <v>2096323.89</v>
      </c>
      <c r="F164" s="17" t="n"/>
    </row>
    <row r="165">
      <c r="A165" s="26" t="n">
        <v>46093</v>
      </c>
      <c r="B165" s="17" t="inlineStr">
        <is>
          <t>MOVFONDOS - 7468</t>
        </is>
      </c>
      <c r="C165" s="17" t="inlineStr">
        <is>
          <t>Banco Santander Cta Cte $</t>
        </is>
      </c>
      <c r="D165" s="17" t="inlineStr">
        <is>
          <t>Transferencia Recibida - De Vera,mar A Agustina / Transf - Var / 27373292090</t>
        </is>
      </c>
      <c r="E165" s="18" t="n">
        <v>225324.19</v>
      </c>
      <c r="F165" s="17" t="n"/>
    </row>
    <row r="166">
      <c r="A166" s="26" t="n">
        <v>46093</v>
      </c>
      <c r="B166" s="17" t="inlineStr">
        <is>
          <t>MOVFONDOS - 7471</t>
        </is>
      </c>
      <c r="C166" s="17" t="inlineStr">
        <is>
          <t>Banco Santander Cta Cte $</t>
        </is>
      </c>
      <c r="D166" s="17" t="inlineStr">
        <is>
          <t>30999033764  Municipalidad De Salto / Var Trans - Var /</t>
        </is>
      </c>
      <c r="E166" s="18" t="n">
        <v>186936.66</v>
      </c>
      <c r="F166" s="17" t="n"/>
    </row>
    <row r="167">
      <c r="A167" s="26" t="n">
        <v>46093</v>
      </c>
      <c r="B167" s="17" t="inlineStr">
        <is>
          <t>MOVFONDOS - 7472</t>
        </is>
      </c>
      <c r="C167" s="17" t="inlineStr">
        <is>
          <t>Banco Santander Cta Cte $</t>
        </is>
      </c>
      <c r="D167" s="17" t="inlineStr">
        <is>
          <t>Transferencia Recibida - De Romero/andrea Miche / 0045503562 - Var / 27455035622</t>
        </is>
      </c>
      <c r="E167" s="18" t="n">
        <v>10786.55</v>
      </c>
      <c r="F167" s="17" t="n"/>
    </row>
    <row r="168">
      <c r="A168" s="26" t="n">
        <v>46093</v>
      </c>
      <c r="B168" s="17" t="inlineStr">
        <is>
          <t>MOVFONDOS - 7473</t>
        </is>
      </c>
      <c r="C168" s="17" t="inlineStr">
        <is>
          <t>Banco Santander Cta Cte $</t>
        </is>
      </c>
      <c r="D168" s="17" t="inlineStr">
        <is>
          <t>30702166779  Fundacion Instituto Universit  03 3339062</t>
        </is>
      </c>
      <c r="E168" s="18" t="n">
        <v>3034757.92</v>
      </c>
      <c r="F168" s="17" t="n"/>
    </row>
    <row r="169">
      <c r="A169" s="26" t="n">
        <v>46093</v>
      </c>
      <c r="B169" s="17" t="inlineStr">
        <is>
          <t>MOVFONDOS - 7474</t>
        </is>
      </c>
      <c r="C169" s="17" t="inlineStr">
        <is>
          <t>Banco Santander Cta Cte $</t>
        </is>
      </c>
      <c r="D169" s="17" t="inlineStr">
        <is>
          <t>27270710285  Campora/marcela Victor / Inst Pasteur - Var /</t>
        </is>
      </c>
      <c r="E169" s="18" t="n">
        <v>1269139.2</v>
      </c>
      <c r="F169" s="17" t="n"/>
    </row>
    <row r="170">
      <c r="A170" s="26" t="n">
        <v>46093</v>
      </c>
      <c r="B170" s="17" t="inlineStr">
        <is>
          <t>MOVFONDOS - 7478</t>
        </is>
      </c>
      <c r="C170" s="17" t="inlineStr">
        <is>
          <t>Banco Santander Cta Cte $</t>
        </is>
      </c>
      <c r="D170" s="17" t="inlineStr">
        <is>
          <t>33626615959  Fundacion Pablo Cassara  03 6415261</t>
        </is>
      </c>
      <c r="E170" s="18" t="n">
        <v>998082.4</v>
      </c>
      <c r="F170" s="17" t="n"/>
    </row>
    <row r="171">
      <c r="A171" s="26" t="n">
        <v>46093</v>
      </c>
      <c r="B171" s="17" t="inlineStr">
        <is>
          <t>MOVFONDOS - 7479</t>
        </is>
      </c>
      <c r="C171" s="17" t="inlineStr">
        <is>
          <t>Banco Santander Cta Cte $</t>
        </is>
      </c>
      <c r="D171" s="17" t="inlineStr">
        <is>
          <t>30528818400  Asoc Civ La Educacion / Factura - Fac /</t>
        </is>
      </c>
      <c r="E171" s="18" t="n">
        <v>1744696.39</v>
      </c>
      <c r="F171" s="17" t="n"/>
    </row>
    <row r="172">
      <c r="A172" s="26" t="n">
        <v>46093</v>
      </c>
      <c r="B172" s="17" t="inlineStr">
        <is>
          <t>MOVFONDOS - 7480</t>
        </is>
      </c>
      <c r="C172" s="17" t="inlineStr">
        <is>
          <t>Banco Santander Cta Cte $</t>
        </is>
      </c>
      <c r="D172" s="17" t="inlineStr">
        <is>
          <t>30624317277 Lilis S.a. / Factura - Fac / ctura - Fac /</t>
        </is>
      </c>
      <c r="E172" s="18" t="n">
        <v>764504.9399999999</v>
      </c>
      <c r="F172" s="17" t="n"/>
    </row>
    <row r="173">
      <c r="A173" s="26" t="n">
        <v>46093</v>
      </c>
      <c r="B173" s="17" t="inlineStr">
        <is>
          <t>MOVFONDOS - 7485</t>
        </is>
      </c>
      <c r="C173" s="17" t="inlineStr">
        <is>
          <t>Banco Santander Cta Cte $</t>
        </is>
      </c>
      <c r="D173" s="17" t="inlineStr"/>
      <c r="E173" s="17" t="n"/>
      <c r="F173" s="18" t="n">
        <v>11000000</v>
      </c>
    </row>
    <row r="174">
      <c r="A174" s="26" t="n">
        <v>46093</v>
      </c>
      <c r="B174" s="17" t="inlineStr">
        <is>
          <t>MOVFONDOS - 7486</t>
        </is>
      </c>
      <c r="C174" s="17" t="inlineStr">
        <is>
          <t>Banco Santander Cta Cte $</t>
        </is>
      </c>
      <c r="D174" s="17" t="inlineStr">
        <is>
          <t>30595517199  Universidad Juan Agustin Maza  03 6513639</t>
        </is>
      </c>
      <c r="E174" s="18" t="n">
        <v>3419538.53</v>
      </c>
      <c r="F174" s="17" t="n"/>
    </row>
    <row r="175">
      <c r="A175" s="26" t="n">
        <v>46093</v>
      </c>
      <c r="B175" s="17" t="inlineStr">
        <is>
          <t>MOVFONDOS - 7487</t>
        </is>
      </c>
      <c r="C175" s="17" t="inlineStr">
        <is>
          <t>Banco Santander Cta Cte $</t>
        </is>
      </c>
      <c r="D175" s="17" t="inlineStr">
        <is>
          <t>30690280988  Laboratorios Biofarma Sa  03 3405959</t>
        </is>
      </c>
      <c r="E175" s="18" t="n">
        <v>276038.2</v>
      </c>
      <c r="F175" s="17" t="n"/>
    </row>
    <row r="176">
      <c r="A176" s="26" t="n">
        <v>46093</v>
      </c>
      <c r="B176" s="17" t="inlineStr">
        <is>
          <t>AGGETNET - 390</t>
        </is>
      </c>
      <c r="C176" s="17" t="inlineStr">
        <is>
          <t>Banco Santander Cta Cte $</t>
        </is>
      </c>
      <c r="D176" s="17" t="inlineStr"/>
      <c r="E176" s="18" t="n">
        <v>719644.91</v>
      </c>
      <c r="F176" s="17" t="n"/>
    </row>
    <row r="177">
      <c r="A177" s="26" t="n">
        <v>46093</v>
      </c>
      <c r="B177" s="17" t="inlineStr">
        <is>
          <t>AGGETNET - 390</t>
        </is>
      </c>
      <c r="C177" s="17" t="inlineStr">
        <is>
          <t>Banco Santander Cta Cte $</t>
        </is>
      </c>
      <c r="D177" s="17" t="inlineStr"/>
      <c r="E177" s="18" t="n">
        <v>163586.94</v>
      </c>
      <c r="F177" s="17" t="n"/>
    </row>
    <row r="178">
      <c r="A178" s="26" t="n">
        <v>46093</v>
      </c>
      <c r="B178" s="17" t="inlineStr">
        <is>
          <t>MOVFONDOS - 7497</t>
        </is>
      </c>
      <c r="C178" s="17" t="inlineStr">
        <is>
          <t>Banco Santander Cta Cte $</t>
        </is>
      </c>
      <c r="D178" s="17" t="inlineStr">
        <is>
          <t>83499090</t>
        </is>
      </c>
      <c r="E178" s="18" t="n">
        <v>3189352.5</v>
      </c>
      <c r="F178" s="17" t="n"/>
    </row>
    <row r="179">
      <c r="A179" s="26" t="n">
        <v>46094</v>
      </c>
      <c r="B179" s="17" t="inlineStr">
        <is>
          <t>MOVFONDOS - 7489</t>
        </is>
      </c>
      <c r="C179" s="17" t="inlineStr">
        <is>
          <t>Banco Santander Cta Cte $</t>
        </is>
      </c>
      <c r="D179" s="17" t="inlineStr">
        <is>
          <t>30663418579 smurfit Kappa De Arge Cuit</t>
        </is>
      </c>
      <c r="E179" s="18" t="n">
        <v>17194.12</v>
      </c>
      <c r="F179" s="17" t="n"/>
    </row>
    <row r="180">
      <c r="A180" s="26" t="n">
        <v>46094</v>
      </c>
      <c r="B180" s="17" t="inlineStr">
        <is>
          <t>MOVFONDOS - 7496</t>
        </is>
      </c>
      <c r="C180" s="17" t="inlineStr">
        <is>
          <t>Banco Santander Cta Cte $</t>
        </is>
      </c>
      <c r="D180" s="17" t="inlineStr">
        <is>
          <t>28605213</t>
        </is>
      </c>
      <c r="E180" s="18" t="n">
        <v>204941.66</v>
      </c>
      <c r="F180" s="17" t="n"/>
    </row>
    <row r="181">
      <c r="A181" s="26" t="n">
        <v>46094</v>
      </c>
      <c r="B181" s="17" t="inlineStr">
        <is>
          <t>MOVFONDOS - 7496</t>
        </is>
      </c>
      <c r="C181" s="17" t="inlineStr">
        <is>
          <t>Banco Santander Cta Cte $</t>
        </is>
      </c>
      <c r="D181" s="17" t="inlineStr">
        <is>
          <t>90001536</t>
        </is>
      </c>
      <c r="E181" s="18" t="n">
        <v>1036888</v>
      </c>
      <c r="F181" s="17" t="n"/>
    </row>
    <row r="182">
      <c r="A182" s="26" t="n">
        <v>46094</v>
      </c>
      <c r="B182" s="17" t="inlineStr">
        <is>
          <t>MOVFONDOS - 7496</t>
        </is>
      </c>
      <c r="C182" s="17" t="inlineStr">
        <is>
          <t>Banco Santander Cta Cte $</t>
        </is>
      </c>
      <c r="D182" s="17" t="inlineStr">
        <is>
          <t>00001827</t>
        </is>
      </c>
      <c r="E182" s="18" t="n">
        <v>30300.71</v>
      </c>
      <c r="F182" s="17" t="n"/>
    </row>
    <row r="183">
      <c r="A183" s="26" t="n">
        <v>46094</v>
      </c>
      <c r="B183" s="17" t="inlineStr">
        <is>
          <t>MOVFONDOS - 7499</t>
        </is>
      </c>
      <c r="C183" s="17" t="inlineStr">
        <is>
          <t>Banco Santander Cta Cte $</t>
        </is>
      </c>
      <c r="D183" s="17" t="inlineStr"/>
      <c r="E183" s="17" t="n"/>
      <c r="F183" s="18" t="n">
        <v>6000000</v>
      </c>
    </row>
    <row r="184">
      <c r="A184" s="26" t="n">
        <v>46094</v>
      </c>
      <c r="B184" s="17" t="inlineStr">
        <is>
          <t>MOVFONDOS - 7504</t>
        </is>
      </c>
      <c r="C184" s="17" t="inlineStr">
        <is>
          <t>Banco Santander Cta Cte $</t>
        </is>
      </c>
      <c r="D184" s="17" t="inlineStr">
        <is>
          <t>30546669463 Universidad Nacional De Cuyo  03 1104615</t>
        </is>
      </c>
      <c r="E184" s="18" t="n">
        <v>72926.7</v>
      </c>
      <c r="F184" s="17" t="n"/>
    </row>
    <row r="185">
      <c r="A185" s="26" t="n">
        <v>46094</v>
      </c>
      <c r="B185" s="17" t="inlineStr">
        <is>
          <t>MOVFONDOS - 7505</t>
        </is>
      </c>
      <c r="C185" s="17" t="inlineStr">
        <is>
          <t>Banco Santander Cta Cte $</t>
        </is>
      </c>
      <c r="D185" s="17" t="inlineStr">
        <is>
          <t>30546669463 Universidad Nacional De Cuyo  03 1104615</t>
        </is>
      </c>
      <c r="E185" s="18" t="n">
        <v>15441</v>
      </c>
      <c r="F185" s="17" t="n"/>
    </row>
    <row r="186">
      <c r="A186" s="26" t="n">
        <v>46094</v>
      </c>
      <c r="B186" s="17" t="inlineStr">
        <is>
          <t>MOVFONDOS - 7506</t>
        </is>
      </c>
      <c r="C186" s="17" t="inlineStr">
        <is>
          <t>Banco Santander Cta Cte $</t>
        </is>
      </c>
      <c r="D186" s="17" t="inlineStr">
        <is>
          <t>30629539731  Coop. Facultad De Cienc  03 0227623</t>
        </is>
      </c>
      <c r="E186" s="18" t="n">
        <v>1592299.5</v>
      </c>
      <c r="F186" s="17" t="n"/>
    </row>
    <row r="187">
      <c r="A187" s="26" t="n">
        <v>46094</v>
      </c>
      <c r="B187" s="17" t="inlineStr">
        <is>
          <t>MOVFONDOS - 7507</t>
        </is>
      </c>
      <c r="C187" s="17" t="inlineStr">
        <is>
          <t>Banco Santander Cta Cte $</t>
        </is>
      </c>
      <c r="D187" s="17" t="inlineStr">
        <is>
          <t>20248243725 De Moreyra, Fernando Andr / Varios - Var /</t>
        </is>
      </c>
      <c r="E187" s="18" t="n">
        <v>463200</v>
      </c>
      <c r="F187" s="17" t="n"/>
    </row>
    <row r="188">
      <c r="A188" s="26" t="n">
        <v>46094</v>
      </c>
      <c r="B188" s="17" t="inlineStr">
        <is>
          <t>MOVFONDOS - 7508</t>
        </is>
      </c>
      <c r="C188" s="17" t="inlineStr">
        <is>
          <t>Banco Santander Cta Cte $</t>
        </is>
      </c>
      <c r="D188" s="17" t="inlineStr">
        <is>
          <t>30546666561 Universidad De Buenos Aires  03 3492116</t>
        </is>
      </c>
      <c r="E188" s="18" t="n">
        <v>685989.9300000001</v>
      </c>
      <c r="F188" s="17" t="n"/>
    </row>
    <row r="189">
      <c r="A189" s="26" t="n">
        <v>46094</v>
      </c>
      <c r="B189" s="17" t="inlineStr">
        <is>
          <t>MOVFONDOS - 7509</t>
        </is>
      </c>
      <c r="C189" s="17" t="inlineStr">
        <is>
          <t>Banco Santander Cta Cte $</t>
        </is>
      </c>
      <c r="D189" s="17" t="inlineStr">
        <is>
          <t>30716914816  Medizin S.a.s / - Fac /</t>
        </is>
      </c>
      <c r="E189" s="18" t="n">
        <v>326369.75</v>
      </c>
      <c r="F189" s="17" t="n"/>
    </row>
    <row r="190">
      <c r="A190" s="26" t="n">
        <v>46094</v>
      </c>
      <c r="B190" s="17" t="inlineStr">
        <is>
          <t>MOVFONDOS - 7510</t>
        </is>
      </c>
      <c r="C190" s="17" t="inlineStr">
        <is>
          <t>Banco Santander Cta Cte $</t>
        </is>
      </c>
      <c r="D190" s="17" t="inlineStr">
        <is>
          <t>Pago A Proveedores Recibido - Fund Favaloro P L Doc E Inv M 33559768869 03 6696388</t>
        </is>
      </c>
      <c r="E190" s="18" t="n">
        <v>663142.12</v>
      </c>
      <c r="F190" s="17" t="n"/>
    </row>
    <row r="191">
      <c r="A191" s="26" t="n">
        <v>46094</v>
      </c>
      <c r="B191" s="17" t="inlineStr">
        <is>
          <t>MOVFONDOS - 7511</t>
        </is>
      </c>
      <c r="C191" s="17" t="inlineStr">
        <is>
          <t>Banco Santander Cta Cte $</t>
        </is>
      </c>
      <c r="D191" s="17" t="inlineStr">
        <is>
          <t>27459844487 Segovia, Samira Agusti / Varios - Var /</t>
        </is>
      </c>
      <c r="E191" s="18" t="n">
        <v>4881.68</v>
      </c>
      <c r="F191" s="17" t="n"/>
    </row>
    <row r="192">
      <c r="A192" s="26" t="n">
        <v>46094</v>
      </c>
      <c r="B192" s="17" t="inlineStr">
        <is>
          <t>MOVFONDOS - 7512</t>
        </is>
      </c>
      <c r="C192" s="17" t="inlineStr">
        <is>
          <t>Banco Santander Cta Cte $</t>
        </is>
      </c>
      <c r="D192" s="17" t="inlineStr"/>
      <c r="E192" s="18" t="n">
        <v>3000000</v>
      </c>
      <c r="F192" s="17" t="n"/>
    </row>
    <row r="193">
      <c r="A193" s="26" t="n">
        <v>46094</v>
      </c>
      <c r="B193" s="17" t="inlineStr">
        <is>
          <t>PAGO - 3016</t>
        </is>
      </c>
      <c r="C193" s="17" t="inlineStr">
        <is>
          <t>Banco Santander Cta Cte $</t>
        </is>
      </c>
      <c r="D193" s="17" t="inlineStr"/>
      <c r="E193" s="17" t="n"/>
      <c r="F193" s="18" t="n">
        <v>4713252.5</v>
      </c>
    </row>
    <row r="194">
      <c r="A194" s="26" t="n">
        <v>46094</v>
      </c>
      <c r="B194" s="17" t="inlineStr">
        <is>
          <t>AGGETNET - 391</t>
        </is>
      </c>
      <c r="C194" s="17" t="inlineStr">
        <is>
          <t>Banco Santander Cta Cte $</t>
        </is>
      </c>
      <c r="D194" s="17" t="inlineStr"/>
      <c r="E194" s="18" t="n">
        <v>144791.23</v>
      </c>
      <c r="F194" s="17" t="n"/>
    </row>
    <row r="195">
      <c r="A195" s="26" t="n">
        <v>46094</v>
      </c>
      <c r="B195" s="17" t="inlineStr">
        <is>
          <t>AGGETNET - 391</t>
        </is>
      </c>
      <c r="C195" s="17" t="inlineStr">
        <is>
          <t>Banco Santander Cta Cte $</t>
        </is>
      </c>
      <c r="D195" s="17" t="inlineStr"/>
      <c r="E195" s="18" t="n">
        <v>16740.1</v>
      </c>
      <c r="F195" s="17" t="n"/>
    </row>
    <row r="196">
      <c r="A196" s="26" t="n">
        <v>46097</v>
      </c>
      <c r="B196" s="17" t="inlineStr">
        <is>
          <t>MOVFONDOS - 7516</t>
        </is>
      </c>
      <c r="C196" s="17" t="inlineStr">
        <is>
          <t>Banco Santander Cta Cte $</t>
        </is>
      </c>
      <c r="D196" s="17" t="inlineStr">
        <is>
          <t>27260576122  Criado/maria Victoria / 0026057612 - Var /</t>
        </is>
      </c>
      <c r="E196" s="18" t="n">
        <v>118943</v>
      </c>
      <c r="F196" s="17" t="n"/>
    </row>
    <row r="197">
      <c r="A197" s="26" t="n">
        <v>46097</v>
      </c>
      <c r="B197" s="17" t="inlineStr">
        <is>
          <t>MOVFONDOS - 7517</t>
        </is>
      </c>
      <c r="C197" s="17" t="inlineStr">
        <is>
          <t>Banco Santander Cta Cte $</t>
        </is>
      </c>
      <c r="D197" s="17" t="inlineStr">
        <is>
          <t>30716914816  Medizin S.a.s / - Fac /</t>
        </is>
      </c>
      <c r="E197" s="18" t="n">
        <v>19241</v>
      </c>
      <c r="F197" s="17" t="n"/>
    </row>
    <row r="198">
      <c r="A198" s="26" t="n">
        <v>46097</v>
      </c>
      <c r="B198" s="17" t="inlineStr">
        <is>
          <t>MOVFONDOS - 7518</t>
        </is>
      </c>
      <c r="C198" s="17" t="inlineStr">
        <is>
          <t>Banco Santander Cta Cte $</t>
        </is>
      </c>
      <c r="D198" s="17" t="inlineStr">
        <is>
          <t>20103771367  Jose Fortunato Levy  03 0242972</t>
        </is>
      </c>
      <c r="E198" s="18" t="n">
        <v>874702.13</v>
      </c>
      <c r="F198" s="17" t="n"/>
    </row>
    <row r="199">
      <c r="A199" s="26" t="n">
        <v>46097</v>
      </c>
      <c r="B199" s="17" t="inlineStr">
        <is>
          <t>PAGO - 3024</t>
        </is>
      </c>
      <c r="C199" s="17" t="inlineStr">
        <is>
          <t>Banco Santander Cta Cte $</t>
        </is>
      </c>
      <c r="D199" s="17" t="inlineStr"/>
      <c r="E199" s="17" t="n"/>
      <c r="F199" s="18" t="n">
        <v>95216.62</v>
      </c>
    </row>
    <row r="200">
      <c r="A200" s="26" t="n">
        <v>46097</v>
      </c>
      <c r="B200" s="17" t="inlineStr">
        <is>
          <t>MOVFONDOS - 7528</t>
        </is>
      </c>
      <c r="C200" s="17" t="inlineStr">
        <is>
          <t>Banco Santander Cta Cte $</t>
        </is>
      </c>
      <c r="D200" s="17" t="inlineStr">
        <is>
          <t>27468581030  Zoe Berenice Vinay Gua / - Var /</t>
        </is>
      </c>
      <c r="E200" s="18" t="n">
        <v>10824.66</v>
      </c>
      <c r="F200" s="17" t="n"/>
    </row>
    <row r="201">
      <c r="A201" s="26" t="n">
        <v>46097</v>
      </c>
      <c r="B201" s="17" t="inlineStr">
        <is>
          <t>AGGETNET - 392</t>
        </is>
      </c>
      <c r="C201" s="17" t="inlineStr">
        <is>
          <t>Banco Santander Cta Cte $</t>
        </is>
      </c>
      <c r="D201" s="17" t="inlineStr"/>
      <c r="E201" s="18" t="n">
        <v>258192.72</v>
      </c>
      <c r="F201" s="17" t="n"/>
    </row>
    <row r="202">
      <c r="A202" s="26" t="n">
        <v>46097</v>
      </c>
      <c r="B202" s="17" t="inlineStr">
        <is>
          <t>AGGETNET - 392</t>
        </is>
      </c>
      <c r="C202" s="17" t="inlineStr">
        <is>
          <t>Banco Santander Cta Cte $</t>
        </is>
      </c>
      <c r="D202" s="17" t="inlineStr"/>
      <c r="E202" s="18" t="n">
        <v>667562</v>
      </c>
      <c r="F202" s="17" t="n"/>
    </row>
    <row r="203">
      <c r="A203" s="26" t="n">
        <v>46097</v>
      </c>
      <c r="B203" s="17" t="inlineStr">
        <is>
          <t>PAGO - 3028</t>
        </is>
      </c>
      <c r="C203" s="17" t="inlineStr">
        <is>
          <t>Banco Santander Cta Cte $</t>
        </is>
      </c>
      <c r="D203" s="17" t="inlineStr"/>
      <c r="E203" s="17" t="n"/>
      <c r="F203" s="18" t="n">
        <v>301511.91</v>
      </c>
    </row>
    <row r="204">
      <c r="A204" s="26" t="n">
        <v>46097</v>
      </c>
      <c r="B204" s="17" t="inlineStr">
        <is>
          <t>PAGO - 3029</t>
        </is>
      </c>
      <c r="C204" s="17" t="inlineStr">
        <is>
          <t>Banco Santander Cta Cte $</t>
        </is>
      </c>
      <c r="D204" s="17" t="inlineStr"/>
      <c r="E204" s="17" t="n"/>
      <c r="F204" s="18" t="n">
        <v>524468.05</v>
      </c>
    </row>
    <row r="205">
      <c r="A205" s="26" t="n">
        <v>46097</v>
      </c>
      <c r="B205" s="17" t="inlineStr">
        <is>
          <t>PAGO - 3030</t>
        </is>
      </c>
      <c r="C205" s="17" t="inlineStr">
        <is>
          <t>Banco Santander Cta Cte $</t>
        </is>
      </c>
      <c r="D205" s="17" t="inlineStr"/>
      <c r="E205" s="17" t="n"/>
      <c r="F205" s="18" t="n">
        <v>364826.34</v>
      </c>
    </row>
    <row r="206">
      <c r="A206" s="26" t="n">
        <v>46097</v>
      </c>
      <c r="B206" s="17" t="inlineStr">
        <is>
          <t>PAGO - 3031</t>
        </is>
      </c>
      <c r="C206" s="17" t="inlineStr">
        <is>
          <t>Banco Santander Cta Cte $</t>
        </is>
      </c>
      <c r="D206" s="17" t="inlineStr"/>
      <c r="E206" s="17" t="n"/>
      <c r="F206" s="18" t="n">
        <v>1214855.04</v>
      </c>
    </row>
    <row r="207">
      <c r="A207" s="26" t="n">
        <v>46098</v>
      </c>
      <c r="B207" s="17" t="inlineStr">
        <is>
          <t>PAGO - 3022</t>
        </is>
      </c>
      <c r="C207" s="17" t="inlineStr">
        <is>
          <t>Banco Santander Cta Cte $</t>
        </is>
      </c>
      <c r="D207" s="17" t="inlineStr"/>
      <c r="E207" s="17" t="n"/>
      <c r="F207" s="18" t="n">
        <v>306702.27</v>
      </c>
    </row>
    <row r="208">
      <c r="A208" s="26" t="n">
        <v>46098</v>
      </c>
      <c r="B208" s="17" t="inlineStr">
        <is>
          <t>PAGO - 3023</t>
        </is>
      </c>
      <c r="C208" s="17" t="inlineStr">
        <is>
          <t>Banco Santander Cta Cte $</t>
        </is>
      </c>
      <c r="D208" s="17" t="inlineStr"/>
      <c r="E208" s="17" t="n"/>
      <c r="F208" s="18" t="n">
        <v>60376.45</v>
      </c>
    </row>
    <row r="209">
      <c r="A209" s="26" t="n">
        <v>46098</v>
      </c>
      <c r="B209" s="17" t="inlineStr">
        <is>
          <t>PAGO - 3025</t>
        </is>
      </c>
      <c r="C209" s="17" t="inlineStr">
        <is>
          <t>Banco Santander Cta Cte $</t>
        </is>
      </c>
      <c r="D209" s="17" t="inlineStr"/>
      <c r="E209" s="17" t="n"/>
      <c r="F209" s="18" t="n">
        <v>70500</v>
      </c>
    </row>
    <row r="210">
      <c r="A210" s="26" t="n">
        <v>46098</v>
      </c>
      <c r="B210" s="17" t="inlineStr">
        <is>
          <t>PAGO - 3026</t>
        </is>
      </c>
      <c r="C210" s="17" t="inlineStr">
        <is>
          <t>Banco Santander Cta Cte $</t>
        </is>
      </c>
      <c r="D210" s="17" t="inlineStr"/>
      <c r="E210" s="17" t="n"/>
      <c r="F210" s="18" t="n">
        <v>113843.8</v>
      </c>
    </row>
    <row r="211">
      <c r="A211" s="26" t="n">
        <v>46098</v>
      </c>
      <c r="B211" s="17" t="inlineStr">
        <is>
          <t>PAGO - 3027</t>
        </is>
      </c>
      <c r="C211" s="17" t="inlineStr">
        <is>
          <t>Banco Santander Cta Cte $</t>
        </is>
      </c>
      <c r="D211" s="17" t="inlineStr"/>
      <c r="E211" s="17" t="n"/>
      <c r="F211" s="18" t="n">
        <v>25000</v>
      </c>
    </row>
    <row r="212">
      <c r="A212" s="26" t="n">
        <v>46098</v>
      </c>
      <c r="B212" s="17" t="inlineStr">
        <is>
          <t>MOVFONDOS - 7524</t>
        </is>
      </c>
      <c r="C212" s="17" t="inlineStr">
        <is>
          <t>Banco Santander Cta Cte $</t>
        </is>
      </c>
      <c r="D212" s="17" t="inlineStr"/>
      <c r="E212" s="18" t="n">
        <v>7000000</v>
      </c>
      <c r="F212" s="17" t="n"/>
    </row>
    <row r="213">
      <c r="A213" s="26" t="n">
        <v>46098</v>
      </c>
      <c r="B213" s="17" t="inlineStr">
        <is>
          <t>MOVFONDOS - 7525</t>
        </is>
      </c>
      <c r="C213" s="17" t="inlineStr">
        <is>
          <t>Banco Santander Cta Cte $</t>
        </is>
      </c>
      <c r="D213" s="17" t="inlineStr">
        <is>
          <t>01142814</t>
        </is>
      </c>
      <c r="E213" s="18" t="n">
        <v>747851.08</v>
      </c>
      <c r="F213" s="17" t="n"/>
    </row>
    <row r="214">
      <c r="A214" s="26" t="n">
        <v>46098</v>
      </c>
      <c r="B214" s="17" t="inlineStr">
        <is>
          <t>MOVFONDOS - 7526</t>
        </is>
      </c>
      <c r="C214" s="17" t="inlineStr">
        <is>
          <t>Banco Santander Cta Cte $</t>
        </is>
      </c>
      <c r="D214" s="17" t="inlineStr">
        <is>
          <t>90354876</t>
        </is>
      </c>
      <c r="E214" s="18" t="n">
        <v>120730.65</v>
      </c>
      <c r="F214" s="17" t="n"/>
    </row>
    <row r="215">
      <c r="A215" s="26" t="n">
        <v>46098</v>
      </c>
      <c r="B215" s="17" t="inlineStr">
        <is>
          <t>MOVFONDOS - 7529</t>
        </is>
      </c>
      <c r="C215" s="17" t="inlineStr">
        <is>
          <t>Banco Santander Cta Cte $</t>
        </is>
      </c>
      <c r="D215" s="17" t="inlineStr">
        <is>
          <t>27222006657 Rumi/maria Valeria / 0022200665 - Fac /</t>
        </is>
      </c>
      <c r="E215" s="18" t="n">
        <v>83336.3</v>
      </c>
      <c r="F215" s="17" t="n"/>
    </row>
    <row r="216">
      <c r="A216" s="26" t="n">
        <v>46098</v>
      </c>
      <c r="B216" s="17" t="inlineStr">
        <is>
          <t>MOVFONDOS - 7539</t>
        </is>
      </c>
      <c r="C216" s="17" t="inlineStr">
        <is>
          <t>Banco Santander Cta Cte $</t>
        </is>
      </c>
      <c r="D216" s="17" t="inlineStr">
        <is>
          <t>27383187228  Brayotta Maria Fernand / Ref - Var /</t>
        </is>
      </c>
      <c r="E216" s="18" t="n">
        <v>32915.57</v>
      </c>
      <c r="F216" s="17" t="n"/>
    </row>
    <row r="217">
      <c r="A217" s="26" t="n">
        <v>46098</v>
      </c>
      <c r="B217" s="17" t="inlineStr">
        <is>
          <t>MOVFONDOS - 7540</t>
        </is>
      </c>
      <c r="C217" s="17" t="inlineStr">
        <is>
          <t>Banco Santander Cta Cte $</t>
        </is>
      </c>
      <c r="D217" s="17" t="inlineStr">
        <is>
          <t>23306132849 Quiroga Lohaiza,claudi / Transf - Var /</t>
        </is>
      </c>
      <c r="E217" s="18" t="n">
        <v>773782.85</v>
      </c>
      <c r="F217" s="17" t="n"/>
    </row>
    <row r="218">
      <c r="A218" s="26" t="n">
        <v>46098</v>
      </c>
      <c r="B218" s="17" t="inlineStr">
        <is>
          <t>MOVFONDOS - 7541</t>
        </is>
      </c>
      <c r="C218" s="17" t="inlineStr">
        <is>
          <t>Banco Santander Cta Cte $</t>
        </is>
      </c>
      <c r="D218" s="17" t="inlineStr">
        <is>
          <t>20324244329  Montiel,ruben Dario / Rmontiel - Var /</t>
        </is>
      </c>
      <c r="E218" s="18" t="n">
        <v>28476.48</v>
      </c>
      <c r="F218" s="17" t="n"/>
    </row>
    <row r="219">
      <c r="A219" s="26" t="n">
        <v>46098</v>
      </c>
      <c r="B219" s="17" t="inlineStr">
        <is>
          <t>MOVFONDOS - 7542</t>
        </is>
      </c>
      <c r="C219" s="17" t="inlineStr">
        <is>
          <t>Banco Santander Cta Cte $</t>
        </is>
      </c>
      <c r="D219" s="17" t="inlineStr"/>
      <c r="E219" s="17" t="n"/>
      <c r="F219" s="18" t="n">
        <v>20269.8</v>
      </c>
    </row>
    <row r="220">
      <c r="A220" s="26" t="n">
        <v>46098</v>
      </c>
      <c r="B220" s="17" t="inlineStr">
        <is>
          <t>MOVFONDOS - 7546</t>
        </is>
      </c>
      <c r="C220" s="17" t="inlineStr">
        <is>
          <t>Banco Santander Cta Cte $</t>
        </is>
      </c>
      <c r="D220" s="17" t="inlineStr">
        <is>
          <t>30610211638 Inst Salesiana Inst Pi / Varios - Var /</t>
        </is>
      </c>
      <c r="E220" s="18" t="n">
        <v>532223.95</v>
      </c>
      <c r="F220" s="17" t="n"/>
    </row>
    <row r="221">
      <c r="A221" s="26" t="n">
        <v>46098</v>
      </c>
      <c r="B221" s="17" t="inlineStr">
        <is>
          <t>AGGETNET - 393</t>
        </is>
      </c>
      <c r="C221" s="17" t="inlineStr">
        <is>
          <t>Banco Santander Cta Cte $</t>
        </is>
      </c>
      <c r="D221" s="17" t="inlineStr"/>
      <c r="E221" s="18" t="n">
        <v>20963.04</v>
      </c>
      <c r="F221" s="17" t="n"/>
    </row>
    <row r="222">
      <c r="A222" s="26" t="n">
        <v>46098</v>
      </c>
      <c r="B222" s="17" t="inlineStr">
        <is>
          <t>AGGETNET - 393</t>
        </is>
      </c>
      <c r="C222" s="17" t="inlineStr">
        <is>
          <t>Banco Santander Cta Cte $</t>
        </is>
      </c>
      <c r="D222" s="17" t="inlineStr"/>
      <c r="E222" s="18" t="n">
        <v>17190.94</v>
      </c>
      <c r="F222" s="17" t="n"/>
    </row>
    <row r="223">
      <c r="A223" s="26" t="n">
        <v>46098</v>
      </c>
      <c r="B223" s="17" t="inlineStr">
        <is>
          <t>MOVFONDOS - 7559</t>
        </is>
      </c>
      <c r="C223" s="17" t="inlineStr">
        <is>
          <t>Banco Santander Cta Cte $</t>
        </is>
      </c>
      <c r="D223" s="17" t="inlineStr">
        <is>
          <t>000001163</t>
        </is>
      </c>
      <c r="E223" s="18" t="n">
        <v>184531.62</v>
      </c>
      <c r="F223" s="17" t="n"/>
    </row>
    <row r="224">
      <c r="A224" s="26" t="n">
        <v>46098</v>
      </c>
      <c r="B224" s="17" t="inlineStr">
        <is>
          <t>MOVFONDOS - 7592</t>
        </is>
      </c>
      <c r="C224" s="17" t="inlineStr">
        <is>
          <t>Banco Santander Cta Cte $</t>
        </is>
      </c>
      <c r="D224" s="17" t="inlineStr">
        <is>
          <t>03000</t>
        </is>
      </c>
      <c r="E224" s="18" t="n">
        <v>5126856.55</v>
      </c>
      <c r="F224" s="17" t="n"/>
    </row>
    <row r="225">
      <c r="A225" s="26" t="n">
        <v>46098</v>
      </c>
      <c r="B225" s="17" t="inlineStr">
        <is>
          <t>MOVFONDOS - 7747</t>
        </is>
      </c>
      <c r="C225" s="17" t="inlineStr">
        <is>
          <t>Banco Santander Cta Cte $</t>
        </is>
      </c>
      <c r="D225" s="17" t="inlineStr">
        <is>
          <t>03001</t>
        </is>
      </c>
      <c r="E225" s="18" t="n">
        <v>50000</v>
      </c>
      <c r="F225" s="17" t="n"/>
    </row>
    <row r="226">
      <c r="A226" s="26" t="n">
        <v>46099</v>
      </c>
      <c r="B226" s="17" t="inlineStr">
        <is>
          <t>PAGO - 3035</t>
        </is>
      </c>
      <c r="C226" s="17" t="inlineStr">
        <is>
          <t>Banco Santander Cta Cte $</t>
        </is>
      </c>
      <c r="D226" s="17" t="inlineStr"/>
      <c r="E226" s="17" t="n"/>
      <c r="F226" s="18" t="n">
        <v>1607238.36</v>
      </c>
    </row>
    <row r="227">
      <c r="A227" s="26" t="n">
        <v>46099</v>
      </c>
      <c r="B227" s="17" t="inlineStr">
        <is>
          <t>MOVFONDOS - 7548</t>
        </is>
      </c>
      <c r="C227" s="17" t="inlineStr">
        <is>
          <t>Banco Santander Cta Cte $</t>
        </is>
      </c>
      <c r="D227" s="17" t="inlineStr"/>
      <c r="E227" s="17" t="n"/>
      <c r="F227" s="18" t="n">
        <v>11000000</v>
      </c>
    </row>
    <row r="228">
      <c r="A228" s="26" t="n">
        <v>46099</v>
      </c>
      <c r="B228" s="17" t="inlineStr">
        <is>
          <t>PAGO - 3036</t>
        </is>
      </c>
      <c r="C228" s="17" t="inlineStr">
        <is>
          <t>Banco Santander Cta Cte $</t>
        </is>
      </c>
      <c r="D228" s="17" t="inlineStr"/>
      <c r="E228" s="17" t="n"/>
      <c r="F228" s="18" t="n">
        <v>450000</v>
      </c>
    </row>
    <row r="229">
      <c r="A229" s="26" t="n">
        <v>46099</v>
      </c>
      <c r="B229" s="17" t="inlineStr">
        <is>
          <t>MOVFONDOS - 7551</t>
        </is>
      </c>
      <c r="C229" s="17" t="inlineStr">
        <is>
          <t>Banco Santander Cta Cte $</t>
        </is>
      </c>
      <c r="D229" s="17" t="inlineStr">
        <is>
          <t>Alimentos magro 30707731601</t>
        </is>
      </c>
      <c r="E229" s="18" t="n">
        <v>1252079.22</v>
      </c>
      <c r="F229" s="17" t="n"/>
    </row>
    <row r="230">
      <c r="A230" s="26" t="n">
        <v>46099</v>
      </c>
      <c r="B230" s="17" t="inlineStr">
        <is>
          <t>MOVFONDOS - 7552</t>
        </is>
      </c>
      <c r="C230" s="17" t="inlineStr">
        <is>
          <t>Banco Santander Cta Cte $</t>
        </is>
      </c>
      <c r="D230" s="17" t="inlineStr">
        <is>
          <t>30693212347  lab s jose diag y trat / - hon /</t>
        </is>
      </c>
      <c r="E230" s="18" t="n">
        <v>393794.5</v>
      </c>
      <c r="F230" s="17" t="n"/>
    </row>
    <row r="231">
      <c r="A231" s="26" t="n">
        <v>46099</v>
      </c>
      <c r="B231" s="17" t="inlineStr">
        <is>
          <t>MOVFONDOS - 7553</t>
        </is>
      </c>
      <c r="C231" s="17" t="inlineStr">
        <is>
          <t>Banco Santander Cta Cte $</t>
        </is>
      </c>
      <c r="D231" s="17" t="inlineStr">
        <is>
          <t>3070750935  chemit argentina srl / varios - var /</t>
        </is>
      </c>
      <c r="E231" s="18" t="n">
        <v>375371.2</v>
      </c>
      <c r="F231" s="17" t="n"/>
    </row>
    <row r="232">
      <c r="A232" s="26" t="n">
        <v>46099</v>
      </c>
      <c r="B232" s="17" t="inlineStr">
        <is>
          <t>MOVFONDOS - 7554</t>
        </is>
      </c>
      <c r="C232" s="17" t="inlineStr">
        <is>
          <t>Banco Santander Cta Cte $</t>
        </is>
      </c>
      <c r="D232" s="17" t="inlineStr">
        <is>
          <t>Universidad gral. san martin 30662473916</t>
        </is>
      </c>
      <c r="E232" s="18" t="n">
        <v>85708.52</v>
      </c>
      <c r="F232" s="17" t="n"/>
    </row>
    <row r="233">
      <c r="A233" s="26" t="n">
        <v>46099</v>
      </c>
      <c r="B233" s="17" t="inlineStr">
        <is>
          <t>MOVFONDOS - 7555</t>
        </is>
      </c>
      <c r="C233" s="17" t="inlineStr">
        <is>
          <t>Banco Santander Cta Cte $</t>
        </is>
      </c>
      <c r="D233" s="17" t="inlineStr">
        <is>
          <t>De bellandi/graciela c / pasteur - fac / 27126307050</t>
        </is>
      </c>
      <c r="E233" s="18" t="n">
        <v>345543</v>
      </c>
      <c r="F233" s="17" t="n"/>
    </row>
    <row r="234">
      <c r="A234" s="26" t="n">
        <v>46099</v>
      </c>
      <c r="B234" s="17" t="inlineStr">
        <is>
          <t>AGGETNET - 394</t>
        </is>
      </c>
      <c r="C234" s="17" t="inlineStr">
        <is>
          <t>Banco Santander Cta Cte $</t>
        </is>
      </c>
      <c r="D234" s="17" t="inlineStr"/>
      <c r="E234" s="18" t="n">
        <v>265525.07</v>
      </c>
      <c r="F234" s="17" t="n"/>
    </row>
    <row r="235">
      <c r="A235" s="26" t="n">
        <v>46099</v>
      </c>
      <c r="B235" s="17" t="inlineStr">
        <is>
          <t>AGGETNET - 394</t>
        </is>
      </c>
      <c r="C235" s="17" t="inlineStr">
        <is>
          <t>Banco Santander Cta Cte $</t>
        </is>
      </c>
      <c r="D235" s="17" t="inlineStr"/>
      <c r="E235" s="18" t="n">
        <v>57973.91</v>
      </c>
      <c r="F235" s="17" t="n"/>
    </row>
    <row r="236">
      <c r="A236" s="26" t="n">
        <v>46100</v>
      </c>
      <c r="B236" s="17" t="inlineStr">
        <is>
          <t>MOVFONDOS - 7556</t>
        </is>
      </c>
      <c r="C236" s="17" t="inlineStr">
        <is>
          <t>Banco Santander Cta Cte $</t>
        </is>
      </c>
      <c r="D236" s="17" t="inlineStr">
        <is>
          <t>90028173</t>
        </is>
      </c>
      <c r="E236" s="18" t="n">
        <v>292236</v>
      </c>
      <c r="F236" s="17" t="n"/>
    </row>
    <row r="237">
      <c r="A237" s="26" t="n">
        <v>46100</v>
      </c>
      <c r="B237" s="17" t="inlineStr">
        <is>
          <t>PAGO - 3038</t>
        </is>
      </c>
      <c r="C237" s="17" t="inlineStr">
        <is>
          <t>Banco Santander Cta Cte $</t>
        </is>
      </c>
      <c r="D237" s="17" t="inlineStr"/>
      <c r="E237" s="17" t="n"/>
      <c r="F237" s="18" t="n">
        <v>500000</v>
      </c>
    </row>
    <row r="238">
      <c r="A238" s="26" t="n">
        <v>46100</v>
      </c>
      <c r="B238" s="17" t="inlineStr">
        <is>
          <t>PAGO - 3039</t>
        </is>
      </c>
      <c r="C238" s="17" t="inlineStr">
        <is>
          <t>Banco Santander Cta Cte $</t>
        </is>
      </c>
      <c r="D238" s="17" t="inlineStr"/>
      <c r="E238" s="17" t="n"/>
      <c r="F238" s="18" t="n">
        <v>195570</v>
      </c>
    </row>
    <row r="239">
      <c r="A239" s="26" t="n">
        <v>46100</v>
      </c>
      <c r="B239" s="17" t="inlineStr">
        <is>
          <t>PAGO - 3040</t>
        </is>
      </c>
      <c r="C239" s="17" t="inlineStr">
        <is>
          <t>Banco Santander Cta Cte $</t>
        </is>
      </c>
      <c r="D239" s="17" t="inlineStr"/>
      <c r="E239" s="17" t="n"/>
      <c r="F239" s="18" t="n">
        <v>104674.24</v>
      </c>
    </row>
    <row r="240">
      <c r="A240" s="26" t="n">
        <v>46100</v>
      </c>
      <c r="B240" s="17" t="inlineStr">
        <is>
          <t>PAGO - 3041</t>
        </is>
      </c>
      <c r="C240" s="17" t="inlineStr">
        <is>
          <t>Banco Santander Cta Cte $</t>
        </is>
      </c>
      <c r="D240" s="17" t="inlineStr"/>
      <c r="E240" s="17" t="n"/>
      <c r="F240" s="18" t="n">
        <v>181720</v>
      </c>
    </row>
    <row r="241">
      <c r="A241" s="26" t="n">
        <v>46100</v>
      </c>
      <c r="B241" s="17" t="inlineStr">
        <is>
          <t>MOVFONDOS - 7563</t>
        </is>
      </c>
      <c r="C241" s="17" t="inlineStr">
        <is>
          <t>Banco Santander Cta Cte $</t>
        </is>
      </c>
      <c r="D241" s="17" t="inlineStr"/>
      <c r="E241" s="17" t="n"/>
      <c r="F241" s="18" t="n">
        <v>3623449.92</v>
      </c>
    </row>
    <row r="242">
      <c r="A242" s="26" t="n">
        <v>46100</v>
      </c>
      <c r="B242" s="17" t="inlineStr">
        <is>
          <t>MOVFONDOS - 7567</t>
        </is>
      </c>
      <c r="C242" s="17" t="inlineStr">
        <is>
          <t>Banco Santander Cta Cte $</t>
        </is>
      </c>
      <c r="D242" s="17" t="inlineStr">
        <is>
          <t>30710494459  Fundacion del inst biologia m 03 0213874</t>
        </is>
      </c>
      <c r="E242" s="18" t="n">
        <v>64102.9</v>
      </c>
      <c r="F242" s="17" t="n"/>
    </row>
    <row r="243">
      <c r="A243" s="26" t="n">
        <v>46100</v>
      </c>
      <c r="B243" s="17" t="inlineStr">
        <is>
          <t>MOVFONDOS - 7570</t>
        </is>
      </c>
      <c r="C243" s="17" t="inlineStr">
        <is>
          <t>Banco Santander Cta Cte $</t>
        </is>
      </c>
      <c r="D243" s="17" t="inlineStr">
        <is>
          <t>272621572  diana carolina blostei / varios - var /</t>
        </is>
      </c>
      <c r="E243" s="18" t="n">
        <v>10794.93</v>
      </c>
      <c r="F243" s="17" t="n"/>
    </row>
    <row r="244">
      <c r="A244" s="26" t="n">
        <v>46100</v>
      </c>
      <c r="B244" s="17" t="inlineStr">
        <is>
          <t>MOVFONDOS - 7574</t>
        </is>
      </c>
      <c r="C244" s="17" t="inlineStr">
        <is>
          <t>Banco Santander Cta Cte $</t>
        </is>
      </c>
      <c r="D244" s="17" t="inlineStr">
        <is>
          <t>30709327247  lacfarm srl / mercado pago</t>
        </is>
      </c>
      <c r="E244" s="18" t="n">
        <v>302007</v>
      </c>
      <c r="F244" s="17" t="n"/>
    </row>
    <row r="245">
      <c r="A245" s="26" t="n">
        <v>46100</v>
      </c>
      <c r="B245" s="17" t="inlineStr">
        <is>
          <t>MOVFONDOS - 7575</t>
        </is>
      </c>
      <c r="C245" s="17" t="inlineStr">
        <is>
          <t>Banco Santander Cta Cte $</t>
        </is>
      </c>
      <c r="D245" s="17" t="inlineStr">
        <is>
          <t>Levy 20103771367 03 0294545</t>
        </is>
      </c>
      <c r="E245" s="18" t="n">
        <v>4261383.52</v>
      </c>
      <c r="F245" s="17" t="n"/>
    </row>
    <row r="246">
      <c r="A246" s="26" t="n">
        <v>46100</v>
      </c>
      <c r="B246" s="17" t="inlineStr">
        <is>
          <t>MOVFONDOS - 7576</t>
        </is>
      </c>
      <c r="C246" s="17" t="inlineStr">
        <is>
          <t>Banco Santander Cta Cte $</t>
        </is>
      </c>
      <c r="D246" s="17" t="inlineStr">
        <is>
          <t>30642137251 Universidad nacional de quilm  63 34</t>
        </is>
      </c>
      <c r="E246" s="18" t="n">
        <v>36568.52</v>
      </c>
      <c r="F246" s="17" t="n"/>
    </row>
    <row r="247">
      <c r="A247" s="26" t="n">
        <v>46100</v>
      </c>
      <c r="B247" s="17" t="inlineStr">
        <is>
          <t>AGGETNET - 395</t>
        </is>
      </c>
      <c r="C247" s="17" t="inlineStr">
        <is>
          <t>Banco Santander Cta Cte $</t>
        </is>
      </c>
      <c r="D247" s="17" t="inlineStr"/>
      <c r="E247" s="18" t="n">
        <v>167171.23</v>
      </c>
      <c r="F247" s="17" t="n"/>
    </row>
    <row r="248">
      <c r="A248" s="26" t="n">
        <v>46101</v>
      </c>
      <c r="B248" s="17" t="inlineStr">
        <is>
          <t>PAGO - 3045</t>
        </is>
      </c>
      <c r="C248" s="17" t="inlineStr">
        <is>
          <t>Banco Santander Cta Cte $</t>
        </is>
      </c>
      <c r="D248" s="17" t="inlineStr"/>
      <c r="E248" s="17" t="n"/>
      <c r="F248" s="18" t="n">
        <v>538393.3</v>
      </c>
    </row>
    <row r="249">
      <c r="A249" s="26" t="n">
        <v>46101</v>
      </c>
      <c r="B249" s="17" t="inlineStr">
        <is>
          <t>PAGO - 3046</t>
        </is>
      </c>
      <c r="C249" s="17" t="inlineStr">
        <is>
          <t>Banco Santander Cta Cte $</t>
        </is>
      </c>
      <c r="D249" s="17" t="inlineStr"/>
      <c r="E249" s="17" t="n"/>
      <c r="F249" s="18" t="n">
        <v>851420.4</v>
      </c>
    </row>
    <row r="250">
      <c r="A250" s="26" t="n">
        <v>46101</v>
      </c>
      <c r="B250" s="17" t="inlineStr">
        <is>
          <t>MOVFONDOS - 7578</t>
        </is>
      </c>
      <c r="C250" s="17" t="inlineStr">
        <is>
          <t>Banco Santander Cta Cte $</t>
        </is>
      </c>
      <c r="D250" s="17" t="inlineStr">
        <is>
          <t>30709327247 lacfarm srl / - var /</t>
        </is>
      </c>
      <c r="E250" s="18" t="n">
        <v>717.75</v>
      </c>
      <c r="F250" s="17" t="n"/>
    </row>
    <row r="251">
      <c r="A251" s="26" t="n">
        <v>46101</v>
      </c>
      <c r="B251" s="17" t="inlineStr">
        <is>
          <t>MOVFONDOS - 7579</t>
        </is>
      </c>
      <c r="C251" s="17" t="inlineStr">
        <is>
          <t>Banco Santander Cta Cte $</t>
        </is>
      </c>
      <c r="D251" s="17" t="inlineStr"/>
      <c r="E251" s="18" t="n">
        <v>4000000</v>
      </c>
      <c r="F251" s="17" t="n"/>
    </row>
    <row r="252">
      <c r="A252" s="26" t="n">
        <v>46101</v>
      </c>
      <c r="B252" s="17" t="inlineStr">
        <is>
          <t>MOVFONDOS - 7580</t>
        </is>
      </c>
      <c r="C252" s="17" t="inlineStr">
        <is>
          <t>Banco Santander Cta Cte $</t>
        </is>
      </c>
      <c r="D252" s="17" t="inlineStr">
        <is>
          <t>30559310308 Laboratorio mantel sa</t>
        </is>
      </c>
      <c r="E252" s="18" t="n">
        <v>145483.63</v>
      </c>
      <c r="F252" s="17" t="n"/>
    </row>
    <row r="253">
      <c r="A253" s="26" t="n">
        <v>46101</v>
      </c>
      <c r="B253" s="17" t="inlineStr">
        <is>
          <t>MOVFONDOS - 7581</t>
        </is>
      </c>
      <c r="C253" s="17" t="inlineStr">
        <is>
          <t>Banco Santander Cta Cte $</t>
        </is>
      </c>
      <c r="D253" s="17" t="inlineStr">
        <is>
          <t>FC  69145 SERV TEC   pamela aymara caraballo / mercado pago /2332</t>
        </is>
      </c>
      <c r="E253" s="18" t="n">
        <v>309276</v>
      </c>
      <c r="F253" s="17" t="n"/>
    </row>
    <row r="254">
      <c r="A254" s="26" t="n">
        <v>46101</v>
      </c>
      <c r="B254" s="17" t="inlineStr">
        <is>
          <t>MOVFONDOS - 7582</t>
        </is>
      </c>
      <c r="C254" s="17" t="inlineStr">
        <is>
          <t>Banco Santander Cta Cte $</t>
        </is>
      </c>
      <c r="D254" s="17" t="inlineStr">
        <is>
          <t>27294175682 druille/magdalena / 0029417568 - var /</t>
        </is>
      </c>
      <c r="E254" s="18" t="n">
        <v>140030.04</v>
      </c>
      <c r="F254" s="17" t="n"/>
    </row>
    <row r="255">
      <c r="A255" s="26" t="n">
        <v>46101</v>
      </c>
      <c r="B255" s="17" t="inlineStr">
        <is>
          <t>MOVFONDOS - 7583</t>
        </is>
      </c>
      <c r="C255" s="17" t="inlineStr">
        <is>
          <t>Banco Santander Cta Cte $</t>
        </is>
      </c>
      <c r="D255" s="17" t="inlineStr">
        <is>
          <t>glisoni,romina julieta / transf - var / 272836935</t>
        </is>
      </c>
      <c r="E255" s="18" t="n">
        <v>167919.12</v>
      </c>
      <c r="F255" s="17" t="n"/>
    </row>
    <row r="256">
      <c r="A256" s="26" t="n">
        <v>46101</v>
      </c>
      <c r="B256" s="17" t="inlineStr">
        <is>
          <t>MOVFONDOS - 7584</t>
        </is>
      </c>
      <c r="C256" s="17" t="inlineStr">
        <is>
          <t>Banco Santander Cta Cte $</t>
        </is>
      </c>
      <c r="D256" s="17" t="inlineStr"/>
      <c r="E256" s="17" t="n"/>
      <c r="F256" s="18" t="n">
        <v>3000000</v>
      </c>
    </row>
    <row r="257">
      <c r="A257" s="26" t="n">
        <v>46101</v>
      </c>
      <c r="B257" s="17" t="inlineStr">
        <is>
          <t>AGGETNET - 396</t>
        </is>
      </c>
      <c r="C257" s="17" t="inlineStr">
        <is>
          <t>Banco Santander Cta Cte $</t>
        </is>
      </c>
      <c r="D257" s="17" t="inlineStr"/>
      <c r="E257" s="18" t="n">
        <v>163099.23</v>
      </c>
      <c r="F257" s="17" t="n"/>
    </row>
    <row r="258">
      <c r="A258" s="26" t="n">
        <v>46101</v>
      </c>
      <c r="B258" s="17" t="inlineStr">
        <is>
          <t>AGGETNET - 396</t>
        </is>
      </c>
      <c r="C258" s="17" t="inlineStr">
        <is>
          <t>Banco Santander Cta Cte $</t>
        </is>
      </c>
      <c r="D258" s="17" t="inlineStr"/>
      <c r="E258" s="18" t="n">
        <v>25222.41</v>
      </c>
      <c r="F258" s="17" t="n"/>
    </row>
    <row r="259">
      <c r="A259" s="26" t="n">
        <v>46101</v>
      </c>
      <c r="B259" s="17" t="inlineStr">
        <is>
          <t>MOVFONDOS - 7586</t>
        </is>
      </c>
      <c r="C259" s="17" t="inlineStr">
        <is>
          <t>Banco Santander Cta Cte $</t>
        </is>
      </c>
      <c r="D259" s="17" t="inlineStr">
        <is>
          <t>30546670550 Univ nac lit ad  t10 00340021947</t>
        </is>
      </c>
      <c r="E259" s="18" t="n">
        <v>1233857.62</v>
      </c>
      <c r="F259" s="17" t="n"/>
    </row>
    <row r="260">
      <c r="A260" s="26" t="n">
        <v>46101</v>
      </c>
      <c r="B260" s="17" t="inlineStr">
        <is>
          <t>MOVFONDOS - 7587</t>
        </is>
      </c>
      <c r="C260" s="17" t="inlineStr">
        <is>
          <t>Banco Santander Cta Cte $</t>
        </is>
      </c>
      <c r="D260" s="17" t="inlineStr">
        <is>
          <t>30689902002 Fundacion unive  pag o a proveed</t>
        </is>
      </c>
      <c r="E260" s="18" t="n">
        <v>1836790.52</v>
      </c>
      <c r="F260" s="17" t="n"/>
    </row>
    <row r="261">
      <c r="A261" s="26" t="n">
        <v>46101</v>
      </c>
      <c r="B261" s="17" t="inlineStr">
        <is>
          <t>MOVFONDOS - 7588</t>
        </is>
      </c>
      <c r="C261" s="17" t="inlineStr">
        <is>
          <t>Banco Santander Cta Cte $</t>
        </is>
      </c>
      <c r="D261" s="17" t="inlineStr">
        <is>
          <t>20121057205  gentile fernando man / - fac /</t>
        </is>
      </c>
      <c r="E261" s="18" t="n">
        <v>2489256.3</v>
      </c>
      <c r="F261" s="17" t="n"/>
    </row>
    <row r="262">
      <c r="A262" s="26" t="n">
        <v>46104</v>
      </c>
      <c r="B262" s="17" t="inlineStr">
        <is>
          <t>MOVFONDOS - 7589</t>
        </is>
      </c>
      <c r="C262" s="17" t="inlineStr">
        <is>
          <t>Banco Santander Cta Cte $</t>
        </is>
      </c>
      <c r="D262" s="17" t="inlineStr">
        <is>
          <t>30593368935  juliver sa / fac fac 6929 - fac /</t>
        </is>
      </c>
      <c r="E262" s="18" t="n">
        <v>89720.88</v>
      </c>
      <c r="F262" s="17" t="n"/>
    </row>
    <row r="263">
      <c r="A263" s="26" t="n">
        <v>46104</v>
      </c>
      <c r="B263" s="17" t="inlineStr">
        <is>
          <t>MOVFONDOS - 7591</t>
        </is>
      </c>
      <c r="C263" s="17" t="inlineStr">
        <is>
          <t>Banco Santander Cta Cte $</t>
        </is>
      </c>
      <c r="D263" s="17" t="inlineStr">
        <is>
          <t>000186</t>
        </is>
      </c>
      <c r="E263" s="18" t="n">
        <v>1932989.05</v>
      </c>
      <c r="F263" s="17" t="n"/>
    </row>
    <row r="264">
      <c r="A264" s="26" t="n">
        <v>46104</v>
      </c>
      <c r="B264" s="17" t="inlineStr">
        <is>
          <t>MOVFONDOS - 7593</t>
        </is>
      </c>
      <c r="C264" s="17" t="inlineStr">
        <is>
          <t>Banco Santander Cta Cte $</t>
        </is>
      </c>
      <c r="D264" s="17" t="inlineStr">
        <is>
          <t>20278555144 e sires/jorge ignacio / 0027855514 - var /</t>
        </is>
      </c>
      <c r="E264" s="18" t="n">
        <v>90764.52</v>
      </c>
      <c r="F264" s="17" t="n"/>
    </row>
    <row r="265">
      <c r="A265" s="26" t="n">
        <v>46105</v>
      </c>
      <c r="B265" s="17" t="inlineStr">
        <is>
          <t>MOVFONDOS - 7597</t>
        </is>
      </c>
      <c r="C265" s="17" t="inlineStr">
        <is>
          <t>Banco Santander Cta Cte $</t>
        </is>
      </c>
      <c r="D265" s="17" t="inlineStr">
        <is>
          <t>20357220131  luis augusto martin / varios - var /</t>
        </is>
      </c>
      <c r="E265" s="18" t="n">
        <v>13316.45</v>
      </c>
      <c r="F265" s="17" t="n"/>
    </row>
    <row r="266">
      <c r="A266" s="26" t="n">
        <v>46106</v>
      </c>
      <c r="B266" s="17" t="inlineStr">
        <is>
          <t>PAGO - 3072</t>
        </is>
      </c>
      <c r="C266" s="17" t="inlineStr">
        <is>
          <t>Banco Santander Cta Cte $</t>
        </is>
      </c>
      <c r="D266" s="17" t="inlineStr"/>
      <c r="E266" s="17" t="n"/>
      <c r="F266" s="18" t="n">
        <v>1006489.17</v>
      </c>
    </row>
    <row r="267">
      <c r="A267" s="26" t="n">
        <v>46106</v>
      </c>
      <c r="B267" s="17" t="inlineStr">
        <is>
          <t>PAGO - 3073</t>
        </is>
      </c>
      <c r="C267" s="17" t="inlineStr">
        <is>
          <t>Banco Santander Cta Cte $</t>
        </is>
      </c>
      <c r="D267" s="17" t="inlineStr"/>
      <c r="E267" s="17" t="n"/>
      <c r="F267" s="18" t="n">
        <v>386428.77</v>
      </c>
    </row>
    <row r="268">
      <c r="A268" s="26" t="n">
        <v>46106</v>
      </c>
      <c r="B268" s="17" t="inlineStr">
        <is>
          <t>PAGO - 3074</t>
        </is>
      </c>
      <c r="C268" s="17" t="inlineStr">
        <is>
          <t>Banco Santander Cta Cte $</t>
        </is>
      </c>
      <c r="D268" s="17" t="inlineStr"/>
      <c r="E268" s="17" t="n"/>
      <c r="F268" s="18" t="n">
        <v>1536141.96</v>
      </c>
    </row>
    <row r="269">
      <c r="A269" s="26" t="n">
        <v>46106</v>
      </c>
      <c r="B269" s="17" t="inlineStr">
        <is>
          <t>PAGO - 3075</t>
        </is>
      </c>
      <c r="C269" s="17" t="inlineStr">
        <is>
          <t>Banco Santander Cta Cte $</t>
        </is>
      </c>
      <c r="D269" s="17" t="inlineStr"/>
      <c r="E269" s="17" t="n"/>
      <c r="F269" s="18" t="n">
        <v>810669.2</v>
      </c>
    </row>
    <row r="270">
      <c r="A270" s="26" t="n">
        <v>46106</v>
      </c>
      <c r="B270" s="17" t="inlineStr">
        <is>
          <t>PAGO - 3076</t>
        </is>
      </c>
      <c r="C270" s="17" t="inlineStr">
        <is>
          <t>Banco Santander Cta Cte $</t>
        </is>
      </c>
      <c r="D270" s="17" t="inlineStr"/>
      <c r="E270" s="17" t="n"/>
      <c r="F270" s="18" t="n">
        <v>63907.44</v>
      </c>
    </row>
    <row r="271">
      <c r="A271" s="26" t="n">
        <v>46106</v>
      </c>
      <c r="B271" s="17" t="inlineStr">
        <is>
          <t>PAGO - 3077</t>
        </is>
      </c>
      <c r="C271" s="17" t="inlineStr">
        <is>
          <t>Banco Santander Cta Cte $</t>
        </is>
      </c>
      <c r="D271" s="17" t="inlineStr"/>
      <c r="E271" s="17" t="n"/>
      <c r="F271" s="18" t="n">
        <v>117854.59</v>
      </c>
    </row>
    <row r="272">
      <c r="A272" s="26" t="n">
        <v>46106</v>
      </c>
      <c r="B272" s="17" t="inlineStr">
        <is>
          <t>PAGO - 3078</t>
        </is>
      </c>
      <c r="C272" s="17" t="inlineStr">
        <is>
          <t>Banco Santander Cta Cte $</t>
        </is>
      </c>
      <c r="D272" s="17" t="inlineStr"/>
      <c r="E272" s="17" t="n"/>
      <c r="F272" s="18" t="n">
        <v>250092.5</v>
      </c>
    </row>
    <row r="273">
      <c r="A273" s="26" t="n">
        <v>46106</v>
      </c>
      <c r="B273" s="17" t="inlineStr">
        <is>
          <t>PAGO - 3079</t>
        </is>
      </c>
      <c r="C273" s="17" t="inlineStr">
        <is>
          <t>Banco Santander Cta Cte $</t>
        </is>
      </c>
      <c r="D273" s="17" t="inlineStr"/>
      <c r="E273" s="17" t="n"/>
      <c r="F273" s="18" t="n">
        <v>259806.86</v>
      </c>
    </row>
    <row r="274">
      <c r="A274" s="26" t="n">
        <v>46106</v>
      </c>
      <c r="B274" s="17" t="inlineStr">
        <is>
          <t>MOVFONDOS - 7598</t>
        </is>
      </c>
      <c r="C274" s="17" t="inlineStr">
        <is>
          <t>Banco Santander Cta Cte $</t>
        </is>
      </c>
      <c r="D274" s="17" t="inlineStr">
        <is>
          <t>30707986324   iluminarte srl / factura - fac /</t>
        </is>
      </c>
      <c r="E274" s="18" t="n">
        <v>163226.26</v>
      </c>
      <c r="F274" s="17" t="n"/>
    </row>
    <row r="275">
      <c r="A275" s="26" t="n">
        <v>46106</v>
      </c>
      <c r="B275" s="17" t="inlineStr">
        <is>
          <t>MOVFONDOS - 7599</t>
        </is>
      </c>
      <c r="C275" s="17" t="inlineStr">
        <is>
          <t>Banco Santander Cta Cte $</t>
        </is>
      </c>
      <c r="D275" s="17" t="inlineStr">
        <is>
          <t>30649264895   asoc coope otto krause / - fac /</t>
        </is>
      </c>
      <c r="E275" s="18" t="n">
        <v>199383.29</v>
      </c>
      <c r="F275" s="17" t="n"/>
    </row>
    <row r="276">
      <c r="A276" s="26" t="n">
        <v>46106</v>
      </c>
      <c r="B276" s="17" t="inlineStr">
        <is>
          <t>PAGO - 3083</t>
        </is>
      </c>
      <c r="C276" s="17" t="inlineStr">
        <is>
          <t>Banco Santander Cta Cte $</t>
        </is>
      </c>
      <c r="D276" s="17" t="inlineStr"/>
      <c r="E276" s="17" t="n"/>
      <c r="F276" s="18" t="n">
        <v>52889.1</v>
      </c>
    </row>
    <row r="277">
      <c r="A277" s="26" t="n">
        <v>46106</v>
      </c>
      <c r="B277" s="17" t="inlineStr">
        <is>
          <t>MOVFONDOS - 7600</t>
        </is>
      </c>
      <c r="C277" s="17" t="inlineStr">
        <is>
          <t>Banco Santander Cta Cte $</t>
        </is>
      </c>
      <c r="D277" s="17" t="inlineStr"/>
      <c r="E277" s="17" t="n"/>
      <c r="F277" s="18" t="n">
        <v>4108378.73</v>
      </c>
    </row>
    <row r="278">
      <c r="A278" s="26" t="n">
        <v>46106</v>
      </c>
      <c r="B278" s="17" t="inlineStr">
        <is>
          <t>MOVFONDOS - 7602</t>
        </is>
      </c>
      <c r="C278" s="17" t="inlineStr">
        <is>
          <t>Banco Santander Cta Cte $</t>
        </is>
      </c>
      <c r="D278" s="17" t="inlineStr"/>
      <c r="E278" s="17" t="n"/>
      <c r="F278" s="18" t="n">
        <v>851000</v>
      </c>
    </row>
    <row r="279">
      <c r="A279" s="26" t="n">
        <v>46106</v>
      </c>
      <c r="B279" s="17" t="inlineStr">
        <is>
          <t>MOVFONDOS - 7603</t>
        </is>
      </c>
      <c r="C279" s="17" t="inlineStr">
        <is>
          <t>Banco Santander Cta Cte $</t>
        </is>
      </c>
      <c r="D279" s="17" t="inlineStr"/>
      <c r="E279" s="17" t="n"/>
      <c r="F279" s="18" t="n">
        <v>253421.8</v>
      </c>
    </row>
    <row r="280">
      <c r="A280" s="26" t="n">
        <v>46106</v>
      </c>
      <c r="B280" s="17" t="inlineStr">
        <is>
          <t>MOVFONDOS - 7604</t>
        </is>
      </c>
      <c r="C280" s="17" t="inlineStr">
        <is>
          <t>Banco Santander Cta Cte $</t>
        </is>
      </c>
      <c r="D280" s="17" t="inlineStr"/>
      <c r="E280" s="18" t="n">
        <v>1000000</v>
      </c>
      <c r="F280" s="17" t="n"/>
    </row>
    <row r="281">
      <c r="A281" s="26" t="n">
        <v>46106</v>
      </c>
      <c r="B281" s="17" t="inlineStr">
        <is>
          <t>MOVFONDOS - 7606</t>
        </is>
      </c>
      <c r="C281" s="17" t="inlineStr">
        <is>
          <t>Banco Santander Cta Cte $</t>
        </is>
      </c>
      <c r="D281" s="17" t="inlineStr"/>
      <c r="E281" s="18" t="n">
        <v>6000000</v>
      </c>
      <c r="F281" s="17" t="n"/>
    </row>
    <row r="282">
      <c r="A282" s="26" t="n">
        <v>46106</v>
      </c>
      <c r="B282" s="17" t="inlineStr">
        <is>
          <t>MOVFONDOS - 7607</t>
        </is>
      </c>
      <c r="C282" s="17" t="inlineStr">
        <is>
          <t>Banco Santander Cta Cte $</t>
        </is>
      </c>
      <c r="D282" s="17" t="inlineStr">
        <is>
          <t>30708406046  fundacionros-cytec / 62 pict 2020 - fac /</t>
        </is>
      </c>
      <c r="E282" s="18" t="n">
        <v>612349.85</v>
      </c>
      <c r="F282" s="17" t="n"/>
    </row>
    <row r="283">
      <c r="A283" s="26" t="n">
        <v>46106</v>
      </c>
      <c r="B283" s="17" t="inlineStr">
        <is>
          <t>MOVFONDOS - 7609</t>
        </is>
      </c>
      <c r="C283" s="17" t="inlineStr">
        <is>
          <t>Banco Santander Cta Cte $</t>
        </is>
      </c>
      <c r="D283" s="17" t="inlineStr"/>
      <c r="E283" s="17" t="n"/>
      <c r="F283" s="18" t="n">
        <v>5000000</v>
      </c>
    </row>
    <row r="284">
      <c r="A284" s="26" t="n">
        <v>46106</v>
      </c>
      <c r="B284" s="17" t="inlineStr">
        <is>
          <t>MOVFONDOS - 7618</t>
        </is>
      </c>
      <c r="C284" s="17" t="inlineStr">
        <is>
          <t>Banco Santander Cta Cte $</t>
        </is>
      </c>
      <c r="D284" s="17" t="inlineStr">
        <is>
          <t>27441346919  camila lobaiza / - var /</t>
        </is>
      </c>
      <c r="E284" s="18" t="n">
        <v>552006.21</v>
      </c>
      <c r="F284" s="17" t="n"/>
    </row>
    <row r="285">
      <c r="A285" s="26" t="n">
        <v>46106</v>
      </c>
      <c r="B285" s="17" t="inlineStr">
        <is>
          <t>MOVFONDOS - 7619</t>
        </is>
      </c>
      <c r="C285" s="17" t="inlineStr">
        <is>
          <t>Banco Santander Cta Cte $</t>
        </is>
      </c>
      <c r="D285" s="17" t="inlineStr">
        <is>
          <t>30689902002 Fundacion unive</t>
        </is>
      </c>
      <c r="E285" s="18" t="n">
        <v>20206.2</v>
      </c>
      <c r="F285" s="17" t="n"/>
    </row>
    <row r="286">
      <c r="A286" s="26" t="n">
        <v>46106</v>
      </c>
      <c r="B286" s="17" t="inlineStr">
        <is>
          <t>MOVFONDOS - 7620</t>
        </is>
      </c>
      <c r="C286" s="17" t="inlineStr">
        <is>
          <t>Banco Santander Cta Cte $</t>
        </is>
      </c>
      <c r="D286" s="17" t="inlineStr">
        <is>
          <t>30546670550  Univ nac lit ad</t>
        </is>
      </c>
      <c r="E286" s="18" t="n">
        <v>314127.17</v>
      </c>
      <c r="F286" s="17" t="n"/>
    </row>
    <row r="287">
      <c r="A287" s="26" t="n">
        <v>46106</v>
      </c>
      <c r="B287" s="17" t="inlineStr">
        <is>
          <t>MOVFONDOS - 7621</t>
        </is>
      </c>
      <c r="C287" s="17" t="inlineStr">
        <is>
          <t>Banco Santander Cta Cte $</t>
        </is>
      </c>
      <c r="D287" s="17" t="inlineStr">
        <is>
          <t>20921516925  brune/descalzi igor / - var /</t>
        </is>
      </c>
      <c r="E287" s="18" t="n">
        <v>774090</v>
      </c>
      <c r="F287" s="17" t="n"/>
    </row>
    <row r="288">
      <c r="A288" s="26" t="n">
        <v>46106</v>
      </c>
      <c r="B288" s="17" t="inlineStr">
        <is>
          <t>AGGETNET - 397</t>
        </is>
      </c>
      <c r="C288" s="17" t="inlineStr">
        <is>
          <t>Banco Santander Cta Cte $</t>
        </is>
      </c>
      <c r="D288" s="17" t="inlineStr"/>
      <c r="E288" s="17" t="n"/>
      <c r="F288" s="18" t="n">
        <v>13737.76</v>
      </c>
    </row>
    <row r="289">
      <c r="A289" s="26" t="n">
        <v>46107</v>
      </c>
      <c r="B289" s="17" t="inlineStr">
        <is>
          <t>MOVFONDOS - 7617</t>
        </is>
      </c>
      <c r="C289" s="17" t="inlineStr">
        <is>
          <t>Banco Santander Cta Cte $</t>
        </is>
      </c>
      <c r="D289" s="17" t="inlineStr">
        <is>
          <t>Gran mandisovi sa 30715635123</t>
        </is>
      </c>
      <c r="E289" s="18" t="n">
        <v>1656214.2</v>
      </c>
      <c r="F289" s="17" t="n"/>
    </row>
    <row r="290">
      <c r="A290" s="26" t="n">
        <v>46107</v>
      </c>
      <c r="B290" s="17" t="inlineStr">
        <is>
          <t>MOVFONDOS - 7629</t>
        </is>
      </c>
      <c r="C290" s="17" t="inlineStr">
        <is>
          <t>Banco Santander Cta Cte $</t>
        </is>
      </c>
      <c r="D290" s="17" t="inlineStr">
        <is>
          <t>30709287792  Cuenca s a</t>
        </is>
      </c>
      <c r="E290" s="18" t="n">
        <v>7735380.5</v>
      </c>
      <c r="F290" s="17" t="n"/>
    </row>
    <row r="291">
      <c r="A291" s="26" t="n">
        <v>46107</v>
      </c>
      <c r="B291" s="17" t="inlineStr">
        <is>
          <t>MOVFONDOS - 7633</t>
        </is>
      </c>
      <c r="C291" s="17" t="inlineStr">
        <is>
          <t>Banco Santander Cta Cte $</t>
        </is>
      </c>
      <c r="D291" s="17" t="inlineStr"/>
      <c r="E291" s="17" t="n"/>
      <c r="F291" s="18" t="n">
        <v>11000000</v>
      </c>
    </row>
    <row r="292">
      <c r="A292" s="26" t="n">
        <v>46107</v>
      </c>
      <c r="B292" s="17" t="inlineStr">
        <is>
          <t>MOVFONDOS - 7634</t>
        </is>
      </c>
      <c r="C292" s="17" t="inlineStr">
        <is>
          <t>Banco Santander Cta Cte $</t>
        </is>
      </c>
      <c r="D292" s="17" t="inlineStr">
        <is>
          <t>Amfortis sa 30697577838</t>
        </is>
      </c>
      <c r="E292" s="18" t="n">
        <v>315841.98</v>
      </c>
      <c r="F292" s="17" t="n"/>
    </row>
    <row r="293">
      <c r="A293" s="26" t="n">
        <v>46107</v>
      </c>
      <c r="B293" s="17" t="inlineStr">
        <is>
          <t>MOVFONDOS - 7636</t>
        </is>
      </c>
      <c r="C293" s="17" t="inlineStr">
        <is>
          <t>Banco Santander Cta Cte $</t>
        </is>
      </c>
      <c r="D293" s="17" t="inlineStr">
        <is>
          <t>Jose fortunato levy 20103771367</t>
        </is>
      </c>
      <c r="E293" s="18" t="n">
        <v>1067992.79</v>
      </c>
      <c r="F293" s="17" t="n"/>
    </row>
    <row r="294">
      <c r="A294" s="26" t="n">
        <v>46107</v>
      </c>
      <c r="B294" s="17" t="inlineStr">
        <is>
          <t>MOVFONDOS - 7637</t>
        </is>
      </c>
      <c r="C294" s="17" t="inlineStr">
        <is>
          <t>Banco Santander Cta Cte $</t>
        </is>
      </c>
      <c r="D294" s="17" t="inlineStr">
        <is>
          <t>De nanox release technol / 69287 - fac / 30714324</t>
        </is>
      </c>
      <c r="E294" s="18" t="n">
        <v>183836.8</v>
      </c>
      <c r="F294" s="17" t="n"/>
    </row>
    <row r="295">
      <c r="A295" s="26" t="n">
        <v>46107</v>
      </c>
      <c r="B295" s="17" t="inlineStr">
        <is>
          <t>MOVFONDOS - 7639</t>
        </is>
      </c>
      <c r="C295" s="17" t="inlineStr">
        <is>
          <t>Banco Santander Cta Cte $</t>
        </is>
      </c>
      <c r="D295" s="17" t="inlineStr"/>
      <c r="E295" s="18" t="n">
        <v>3000000</v>
      </c>
      <c r="F295" s="17" t="n"/>
    </row>
    <row r="296">
      <c r="A296" s="26" t="n">
        <v>46107</v>
      </c>
      <c r="B296" s="17" t="inlineStr">
        <is>
          <t>MOVFONDOS - 7640</t>
        </is>
      </c>
      <c r="C296" s="17" t="inlineStr">
        <is>
          <t>Banco Santander Cta Cte $</t>
        </is>
      </c>
      <c r="D296" s="17" t="inlineStr"/>
      <c r="E296" s="17" t="n"/>
      <c r="F296" s="18" t="n">
        <v>5000000</v>
      </c>
    </row>
    <row r="297">
      <c r="A297" s="26" t="n">
        <v>46107</v>
      </c>
      <c r="B297" s="17" t="inlineStr">
        <is>
          <t>AGGETNET - 398</t>
        </is>
      </c>
      <c r="C297" s="17" t="inlineStr">
        <is>
          <t>Banco Santander Cta Cte $</t>
        </is>
      </c>
      <c r="D297" s="17" t="inlineStr"/>
      <c r="E297" s="18" t="n">
        <v>765317.27</v>
      </c>
      <c r="F297" s="17" t="n"/>
    </row>
    <row r="298">
      <c r="A298" s="26" t="n">
        <v>46107</v>
      </c>
      <c r="B298" s="17" t="inlineStr">
        <is>
          <t>AGGETNET - 398</t>
        </is>
      </c>
      <c r="C298" s="17" t="inlineStr">
        <is>
          <t>Banco Santander Cta Cte $</t>
        </is>
      </c>
      <c r="D298" s="17" t="inlineStr"/>
      <c r="E298" s="18" t="n">
        <v>62431.53</v>
      </c>
      <c r="F298" s="17" t="n"/>
    </row>
    <row r="299">
      <c r="A299" s="26" t="n">
        <v>46107</v>
      </c>
      <c r="B299" s="17" t="inlineStr">
        <is>
          <t>MOVFONDOS - 7642</t>
        </is>
      </c>
      <c r="C299" s="17" t="inlineStr">
        <is>
          <t>Banco Santander Cta Cte $</t>
        </is>
      </c>
      <c r="D299" s="17" t="inlineStr">
        <is>
          <t>camilo jeremias rodrigue</t>
        </is>
      </c>
      <c r="E299" s="18" t="n">
        <v>116041.9</v>
      </c>
      <c r="F299" s="17" t="n"/>
    </row>
    <row r="300">
      <c r="A300" s="26" t="n">
        <v>46108</v>
      </c>
      <c r="B300" s="17" t="inlineStr">
        <is>
          <t>PAGO - 3098</t>
        </is>
      </c>
      <c r="C300" s="17" t="inlineStr">
        <is>
          <t>Banco Santander Cta Cte $</t>
        </is>
      </c>
      <c r="D300" s="17" t="inlineStr"/>
      <c r="E300" s="17" t="n"/>
      <c r="F300" s="18" t="n">
        <v>542786.63</v>
      </c>
    </row>
    <row r="301">
      <c r="A301" s="26" t="n">
        <v>46108</v>
      </c>
      <c r="B301" s="17" t="inlineStr">
        <is>
          <t>MOVFONDOS - 7643</t>
        </is>
      </c>
      <c r="C301" s="17" t="inlineStr">
        <is>
          <t>Banco Santander Cta Cte $</t>
        </is>
      </c>
      <c r="D301" s="17" t="inlineStr">
        <is>
          <t>30501317019  sidus sa cuit</t>
        </is>
      </c>
      <c r="E301" s="18" t="n">
        <v>1122853.35</v>
      </c>
      <c r="F301" s="17" t="n"/>
    </row>
    <row r="302">
      <c r="A302" s="26" t="n">
        <v>46108</v>
      </c>
      <c r="B302" s="17" t="inlineStr">
        <is>
          <t>MOVFONDOS - 7646</t>
        </is>
      </c>
      <c r="C302" s="17" t="inlineStr">
        <is>
          <t>Banco Santander Cta Cte $</t>
        </is>
      </c>
      <c r="D302" s="17" t="inlineStr">
        <is>
          <t>20-132147De tripodi/valeria paula / 0020200391 - var / 27202003910</t>
        </is>
      </c>
      <c r="E302" s="18" t="n">
        <v>173503.88</v>
      </c>
      <c r="F302" s="17" t="n"/>
    </row>
    <row r="303">
      <c r="A303" s="26" t="n">
        <v>46108</v>
      </c>
      <c r="B303" s="17" t="inlineStr">
        <is>
          <t>MOVFONDOS - 7652</t>
        </is>
      </c>
      <c r="C303" s="17" t="inlineStr">
        <is>
          <t>Banco Santander Cta Cte $</t>
        </is>
      </c>
      <c r="D303" s="17" t="inlineStr">
        <is>
          <t>23292996314   flores, paola lorena</t>
        </is>
      </c>
      <c r="E303" s="18" t="n">
        <v>596451.92</v>
      </c>
      <c r="F303" s="17" t="n"/>
    </row>
    <row r="304">
      <c r="A304" s="26" t="n">
        <v>46108</v>
      </c>
      <c r="B304" s="17" t="inlineStr">
        <is>
          <t>MOVFONDOS - 7653</t>
        </is>
      </c>
      <c r="C304" s="17" t="inlineStr">
        <is>
          <t>Banco Santander Cta Cte $</t>
        </is>
      </c>
      <c r="D304" s="17" t="inlineStr">
        <is>
          <t>30522228210 Wiener laboratorios  03 0244110</t>
        </is>
      </c>
      <c r="E304" s="18" t="n">
        <v>266713.87</v>
      </c>
      <c r="F304" s="17" t="n"/>
    </row>
    <row r="305">
      <c r="A305" s="26" t="n">
        <v>46108</v>
      </c>
      <c r="B305" s="17" t="inlineStr">
        <is>
          <t>MOVFONDOS - 7657</t>
        </is>
      </c>
      <c r="C305" s="17" t="inlineStr">
        <is>
          <t>Banco Santander Cta Cte $</t>
        </is>
      </c>
      <c r="D305" s="17" t="inlineStr">
        <is>
          <t>Chacra experime 33509195639</t>
        </is>
      </c>
      <c r="E305" s="18" t="n">
        <v>106948.5</v>
      </c>
      <c r="F305" s="17" t="n"/>
    </row>
    <row r="306">
      <c r="A306" s="26" t="n">
        <v>46108</v>
      </c>
      <c r="B306" s="17" t="inlineStr">
        <is>
          <t>MOVFONDOS - 7658</t>
        </is>
      </c>
      <c r="C306" s="17" t="inlineStr">
        <is>
          <t>Banco Santander Cta Cte $</t>
        </is>
      </c>
      <c r="D306" s="17" t="inlineStr">
        <is>
          <t>aguirre gonzalo ezequi / 0035391831 - var / 20353918312</t>
        </is>
      </c>
      <c r="E306" s="18" t="n">
        <v>72514.7</v>
      </c>
      <c r="F306" s="17" t="n"/>
    </row>
    <row r="307">
      <c r="A307" s="26" t="n">
        <v>46108</v>
      </c>
      <c r="B307" s="17" t="inlineStr">
        <is>
          <t>MOVFONDOS - 7659</t>
        </is>
      </c>
      <c r="C307" s="17" t="inlineStr">
        <is>
          <t>Banco Santander Cta Cte $</t>
        </is>
      </c>
      <c r="D307" s="17" t="inlineStr">
        <is>
          <t>e jonas ariel arguello m / - var / 20943137073</t>
        </is>
      </c>
      <c r="E307" s="18" t="n">
        <v>70792.7</v>
      </c>
      <c r="F307" s="17" t="n"/>
    </row>
    <row r="308">
      <c r="A308" s="26" t="n">
        <v>46108</v>
      </c>
      <c r="B308" s="17" t="inlineStr">
        <is>
          <t>MOVFONDOS - 7660</t>
        </is>
      </c>
      <c r="C308" s="17" t="inlineStr">
        <is>
          <t>Banco Santander Cta Cte $</t>
        </is>
      </c>
      <c r="D308" s="17" t="inlineStr">
        <is>
          <t>baier, carlos / - var / 20259905932</t>
        </is>
      </c>
      <c r="E308" s="18" t="n">
        <v>290294.55</v>
      </c>
      <c r="F308" s="17" t="n"/>
    </row>
    <row r="309">
      <c r="A309" s="26" t="n">
        <v>46108</v>
      </c>
      <c r="B309" s="17" t="inlineStr">
        <is>
          <t>MOVFONDOS - 7661</t>
        </is>
      </c>
      <c r="C309" s="17" t="inlineStr">
        <is>
          <t>Banco Santander Cta Cte $</t>
        </is>
      </c>
      <c r="D309" s="17" t="inlineStr">
        <is>
          <t>Holliday scott sa 30539235180</t>
        </is>
      </c>
      <c r="E309" s="18" t="n">
        <v>107044.75</v>
      </c>
      <c r="F309" s="17" t="n"/>
    </row>
    <row r="310">
      <c r="A310" s="26" t="n">
        <v>46108</v>
      </c>
      <c r="B310" s="17" t="inlineStr">
        <is>
          <t>AGGETNET - 399</t>
        </is>
      </c>
      <c r="C310" s="17" t="inlineStr">
        <is>
          <t>Banco Santander Cta Cte $</t>
        </is>
      </c>
      <c r="D310" s="17" t="inlineStr"/>
      <c r="E310" s="18" t="n">
        <v>1250435.77</v>
      </c>
      <c r="F310" s="17" t="n"/>
    </row>
    <row r="311">
      <c r="A311" s="26" t="n">
        <v>46110</v>
      </c>
      <c r="B311" s="17" t="inlineStr">
        <is>
          <t>MOVFONDOS - 7656</t>
        </is>
      </c>
      <c r="C311" s="17" t="inlineStr">
        <is>
          <t>Banco Santander Cta Cte $</t>
        </is>
      </c>
      <c r="D311" s="17" t="inlineStr">
        <is>
          <t>boado/lorena analia / - fac / 24267355890</t>
        </is>
      </c>
      <c r="E311" s="18" t="n">
        <v>56571.5</v>
      </c>
      <c r="F311" s="17" t="n"/>
    </row>
    <row r="312">
      <c r="A312" s="26" t="n">
        <v>46111</v>
      </c>
      <c r="B312" s="17" t="inlineStr">
        <is>
          <t>MOVFONDOS - 7662</t>
        </is>
      </c>
      <c r="C312" s="17" t="inlineStr">
        <is>
          <t>Banco Santander Cta Cte $</t>
        </is>
      </c>
      <c r="D312" s="17" t="inlineStr">
        <is>
          <t>Francisco h. walz s.c.a. 30544210803</t>
        </is>
      </c>
      <c r="E312" s="18" t="n">
        <v>101094</v>
      </c>
      <c r="F312" s="17" t="n"/>
    </row>
    <row r="313">
      <c r="A313" s="26" t="n">
        <v>46111</v>
      </c>
      <c r="B313" s="17" t="inlineStr">
        <is>
          <t>PAGO - 3109</t>
        </is>
      </c>
      <c r="C313" s="17" t="inlineStr">
        <is>
          <t>Banco Santander Cta Cte $</t>
        </is>
      </c>
      <c r="D313" s="17" t="inlineStr"/>
      <c r="E313" s="17" t="n"/>
      <c r="F313" s="18" t="n">
        <v>10615330</v>
      </c>
    </row>
    <row r="314">
      <c r="A314" s="26" t="n">
        <v>46111</v>
      </c>
      <c r="B314" s="17" t="inlineStr">
        <is>
          <t>MOVFONDOS - 7667</t>
        </is>
      </c>
      <c r="C314" s="17" t="inlineStr">
        <is>
          <t>Banco Santander Cta Cte $</t>
        </is>
      </c>
      <c r="D314" s="17" t="inlineStr"/>
      <c r="E314" s="18" t="n">
        <v>1500000</v>
      </c>
      <c r="F314" s="17" t="n"/>
    </row>
    <row r="315">
      <c r="A315" s="26" t="n">
        <v>46111</v>
      </c>
      <c r="B315" s="17" t="inlineStr">
        <is>
          <t>MOVFONDOS - 7668</t>
        </is>
      </c>
      <c r="C315" s="17" t="inlineStr">
        <is>
          <t>Banco Santander Cta Cte $</t>
        </is>
      </c>
      <c r="D315" s="17" t="inlineStr"/>
      <c r="E315" s="18" t="n">
        <v>3000000</v>
      </c>
      <c r="F315" s="17" t="n"/>
    </row>
    <row r="316">
      <c r="A316" s="26" t="n">
        <v>46111</v>
      </c>
      <c r="B316" s="17" t="inlineStr">
        <is>
          <t>MOVFONDOS - 7669</t>
        </is>
      </c>
      <c r="C316" s="17" t="inlineStr">
        <is>
          <t>Banco Santander Cta Cte $</t>
        </is>
      </c>
      <c r="D316" s="17" t="inlineStr">
        <is>
          <t>beatriz monica meizoso / mercado pago /27109663250</t>
        </is>
      </c>
      <c r="E316" s="18" t="n">
        <v>308187</v>
      </c>
      <c r="F316" s="17" t="n"/>
    </row>
    <row r="317">
      <c r="A317" s="26" t="n">
        <v>46111</v>
      </c>
      <c r="B317" s="17" t="inlineStr">
        <is>
          <t>MOVFONDOS - 7670</t>
        </is>
      </c>
      <c r="C317" s="17" t="inlineStr">
        <is>
          <t>Banco Santander Cta Cte $</t>
        </is>
      </c>
      <c r="D317" s="17" t="inlineStr">
        <is>
          <t>Ubatec s.a.-anpcyt 30644259486</t>
        </is>
      </c>
      <c r="E317" s="18" t="n">
        <v>128041.62</v>
      </c>
      <c r="F317" s="17" t="n"/>
    </row>
    <row r="318">
      <c r="A318" s="26" t="n">
        <v>46111</v>
      </c>
      <c r="B318" s="17" t="inlineStr">
        <is>
          <t>MOVFONDOS - 7671</t>
        </is>
      </c>
      <c r="C318" s="17" t="inlineStr">
        <is>
          <t>Banco Santander Cta Cte $</t>
        </is>
      </c>
      <c r="D318" s="17" t="inlineStr">
        <is>
          <t>De silcolor sa / - fac / 30608178917</t>
        </is>
      </c>
      <c r="E318" s="18" t="n">
        <v>855779.96</v>
      </c>
      <c r="F318" s="17" t="n"/>
    </row>
    <row r="319">
      <c r="A319" s="26" t="n">
        <v>46111</v>
      </c>
      <c r="B319" s="17" t="inlineStr">
        <is>
          <t>PAGO - 3110</t>
        </is>
      </c>
      <c r="C319" s="17" t="inlineStr">
        <is>
          <t>Banco Santander Cta Cte $</t>
        </is>
      </c>
      <c r="D319" s="17" t="inlineStr"/>
      <c r="E319" s="17" t="n"/>
      <c r="F319" s="18" t="n">
        <v>211750</v>
      </c>
    </row>
    <row r="320">
      <c r="A320" s="26" t="n">
        <v>46111</v>
      </c>
      <c r="B320" s="17" t="inlineStr">
        <is>
          <t>MOVFONDOS - 7675</t>
        </is>
      </c>
      <c r="C320" s="17" t="inlineStr">
        <is>
          <t>Banco Santander Cta Cte $</t>
        </is>
      </c>
      <c r="D320" s="17" t="inlineStr"/>
      <c r="E320" s="17" t="n"/>
      <c r="F320" s="18" t="n">
        <v>3000000</v>
      </c>
    </row>
    <row r="321">
      <c r="A321" s="26" t="n">
        <v>46111</v>
      </c>
      <c r="B321" s="17" t="inlineStr">
        <is>
          <t>MOVFONDOS - 7676</t>
        </is>
      </c>
      <c r="C321" s="17" t="inlineStr">
        <is>
          <t>Banco Santander Cta Cte $</t>
        </is>
      </c>
      <c r="D321" s="17" t="inlineStr">
        <is>
          <t>30709327247  lacfarm srl / varios - var /</t>
        </is>
      </c>
      <c r="E321" s="18" t="n">
        <v>470220.6</v>
      </c>
      <c r="F321" s="17" t="n"/>
    </row>
    <row r="322">
      <c r="A322" s="26" t="n">
        <v>46111</v>
      </c>
      <c r="B322" s="17" t="inlineStr">
        <is>
          <t>MOVFONDOS - 7677</t>
        </is>
      </c>
      <c r="C322" s="17" t="inlineStr">
        <is>
          <t>Banco Santander Cta Cte $</t>
        </is>
      </c>
      <c r="D322" s="17" t="inlineStr">
        <is>
          <t>30714547719  Instituto de fisiologia y bio</t>
        </is>
      </c>
      <c r="E322" s="18" t="n">
        <v>182655.55</v>
      </c>
      <c r="F322" s="17" t="n"/>
    </row>
    <row r="323">
      <c r="A323" s="26" t="n">
        <v>46111</v>
      </c>
      <c r="B323" s="17" t="inlineStr">
        <is>
          <t>MOVFONDOS - 7682</t>
        </is>
      </c>
      <c r="C323" s="17" t="inlineStr">
        <is>
          <t>Banco Santander Cta Cte $</t>
        </is>
      </c>
      <c r="D323" s="17" t="inlineStr"/>
      <c r="E323" s="17" t="n"/>
      <c r="F323" s="18" t="n">
        <v>9000000</v>
      </c>
    </row>
    <row r="324">
      <c r="A324" s="26" t="n">
        <v>46111</v>
      </c>
      <c r="B324" s="17" t="inlineStr">
        <is>
          <t>AGGETNET - 400</t>
        </is>
      </c>
      <c r="C324" s="17" t="inlineStr">
        <is>
          <t>Banco Santander Cta Cte $</t>
        </is>
      </c>
      <c r="D324" s="17" t="inlineStr"/>
      <c r="E324" s="18" t="n">
        <v>51963.28</v>
      </c>
      <c r="F324" s="17" t="n"/>
    </row>
    <row r="325">
      <c r="A325" s="26" t="n">
        <v>46111</v>
      </c>
      <c r="B325" s="17" t="inlineStr">
        <is>
          <t>AGGETNET - 400</t>
        </is>
      </c>
      <c r="C325" s="17" t="inlineStr">
        <is>
          <t>Banco Santander Cta Cte $</t>
        </is>
      </c>
      <c r="D325" s="17" t="inlineStr"/>
      <c r="E325" s="18" t="n">
        <v>1176895.48</v>
      </c>
      <c r="F325" s="17" t="n"/>
    </row>
    <row r="326">
      <c r="A326" s="26" t="n">
        <v>46112</v>
      </c>
      <c r="B326" s="17" t="inlineStr">
        <is>
          <t>PAGO - 3111</t>
        </is>
      </c>
      <c r="C326" s="17" t="inlineStr">
        <is>
          <t>Banco Santander Cta Cte $</t>
        </is>
      </c>
      <c r="D326" s="17" t="inlineStr"/>
      <c r="E326" s="17" t="n"/>
      <c r="F326" s="18" t="n">
        <v>1000000</v>
      </c>
    </row>
    <row r="327">
      <c r="A327" s="26" t="n">
        <v>46112</v>
      </c>
      <c r="B327" s="17" t="inlineStr">
        <is>
          <t>PAGO - 3112</t>
        </is>
      </c>
      <c r="C327" s="17" t="inlineStr">
        <is>
          <t>Banco Santander Cta Cte $</t>
        </is>
      </c>
      <c r="D327" s="17" t="inlineStr"/>
      <c r="E327" s="17" t="n"/>
      <c r="F327" s="18" t="n">
        <v>2460000</v>
      </c>
    </row>
    <row r="328">
      <c r="A328" s="26" t="n">
        <v>46112</v>
      </c>
      <c r="B328" s="17" t="inlineStr">
        <is>
          <t>PAGO - 3113</t>
        </is>
      </c>
      <c r="C328" s="17" t="inlineStr">
        <is>
          <t>Banco Santander Cta Cte $</t>
        </is>
      </c>
      <c r="D328" s="17" t="inlineStr"/>
      <c r="E328" s="17" t="n"/>
      <c r="F328" s="18" t="n">
        <v>1000000</v>
      </c>
    </row>
    <row r="329">
      <c r="A329" s="26" t="n">
        <v>46112</v>
      </c>
      <c r="B329" s="17" t="inlineStr">
        <is>
          <t>PAGO - 3114</t>
        </is>
      </c>
      <c r="C329" s="17" t="inlineStr">
        <is>
          <t>Banco Santander Cta Cte $</t>
        </is>
      </c>
      <c r="D329" s="17" t="inlineStr"/>
      <c r="E329" s="17" t="n"/>
      <c r="F329" s="18" t="n">
        <v>243090.94</v>
      </c>
    </row>
    <row r="330">
      <c r="A330" s="26" t="n">
        <v>46112</v>
      </c>
      <c r="B330" s="17" t="inlineStr">
        <is>
          <t>PAGO - 3115</t>
        </is>
      </c>
      <c r="C330" s="17" t="inlineStr">
        <is>
          <t>Banco Santander Cta Cte $</t>
        </is>
      </c>
      <c r="D330" s="17" t="inlineStr"/>
      <c r="E330" s="17" t="n"/>
      <c r="F330" s="18" t="n">
        <v>433903.21</v>
      </c>
    </row>
    <row r="331">
      <c r="A331" s="26" t="n">
        <v>46112</v>
      </c>
      <c r="B331" s="17" t="inlineStr">
        <is>
          <t>PAGO - 3116</t>
        </is>
      </c>
      <c r="C331" s="17" t="inlineStr">
        <is>
          <t>Banco Santander Cta Cte $</t>
        </is>
      </c>
      <c r="D331" s="17" t="inlineStr"/>
      <c r="E331" s="17" t="n"/>
      <c r="F331" s="18" t="n">
        <v>1395879.99</v>
      </c>
    </row>
    <row r="332">
      <c r="A332" s="26" t="n">
        <v>46112</v>
      </c>
      <c r="B332" s="17" t="inlineStr">
        <is>
          <t>PAGO - 3117</t>
        </is>
      </c>
      <c r="C332" s="17" t="inlineStr">
        <is>
          <t>Banco Santander Cta Cte $</t>
        </is>
      </c>
      <c r="D332" s="17" t="inlineStr"/>
      <c r="E332" s="17" t="n"/>
      <c r="F332" s="18" t="n">
        <v>27818.64</v>
      </c>
    </row>
    <row r="333">
      <c r="A333" s="26" t="n">
        <v>46112</v>
      </c>
      <c r="B333" s="17" t="inlineStr">
        <is>
          <t>PAGO - 3118</t>
        </is>
      </c>
      <c r="C333" s="17" t="inlineStr">
        <is>
          <t>Banco Santander Cta Cte $</t>
        </is>
      </c>
      <c r="D333" s="17" t="inlineStr"/>
      <c r="E333" s="17" t="n"/>
      <c r="F333" s="18" t="n">
        <v>324270</v>
      </c>
    </row>
    <row r="334">
      <c r="A334" s="26" t="n">
        <v>46112</v>
      </c>
      <c r="B334" s="17" t="inlineStr">
        <is>
          <t>PAGO - 3119</t>
        </is>
      </c>
      <c r="C334" s="17" t="inlineStr">
        <is>
          <t>Banco Santander Cta Cte $</t>
        </is>
      </c>
      <c r="D334" s="17" t="inlineStr"/>
      <c r="E334" s="17" t="n"/>
      <c r="F334" s="18" t="n">
        <v>72600</v>
      </c>
    </row>
    <row r="335">
      <c r="A335" s="26" t="n">
        <v>46112</v>
      </c>
      <c r="B335" s="17" t="inlineStr">
        <is>
          <t>MOVFONDOS - 7683</t>
        </is>
      </c>
      <c r="C335" s="17" t="inlineStr">
        <is>
          <t>Banco Santander Cta Cte $</t>
        </is>
      </c>
      <c r="D335" s="17" t="inlineStr">
        <is>
          <t>30545542494  Colegio san jose-inst.sagrada</t>
        </is>
      </c>
      <c r="E335" s="18" t="n">
        <v>1691644.5</v>
      </c>
      <c r="F335" s="17" t="n"/>
    </row>
    <row r="336">
      <c r="A336" s="26" t="n">
        <v>46112</v>
      </c>
      <c r="B336" s="17" t="inlineStr">
        <is>
          <t>MOVFONDOS - 7685</t>
        </is>
      </c>
      <c r="C336" s="17" t="inlineStr">
        <is>
          <t>Banco Santander Cta Cte $</t>
        </is>
      </c>
      <c r="D336" s="17" t="inlineStr"/>
      <c r="E336" s="17" t="n"/>
      <c r="F336" s="18" t="n">
        <v>1000000</v>
      </c>
    </row>
    <row r="337">
      <c r="A337" s="26" t="n">
        <v>46112</v>
      </c>
      <c r="B337" s="17" t="inlineStr">
        <is>
          <t>MOVFONDOS - 7686</t>
        </is>
      </c>
      <c r="C337" s="17" t="inlineStr">
        <is>
          <t>Banco Santander Cta Cte $</t>
        </is>
      </c>
      <c r="D337" s="17" t="inlineStr">
        <is>
          <t>FRANCO VILLANUEVA NANCY NOEMI</t>
        </is>
      </c>
      <c r="E337" s="17" t="n"/>
      <c r="F337" s="18" t="n">
        <v>440846.7</v>
      </c>
    </row>
    <row r="338">
      <c r="A338" s="26" t="n">
        <v>46112</v>
      </c>
      <c r="B338" s="17" t="inlineStr">
        <is>
          <t>PAGO - 3120</t>
        </is>
      </c>
      <c r="C338" s="17" t="inlineStr">
        <is>
          <t>Banco Santander Cta Cte $</t>
        </is>
      </c>
      <c r="D338" s="17" t="inlineStr"/>
      <c r="E338" s="17" t="n"/>
      <c r="F338" s="18" t="n">
        <v>1205540.25</v>
      </c>
    </row>
    <row r="339">
      <c r="A339" s="26" t="n">
        <v>46112</v>
      </c>
      <c r="B339" s="17" t="inlineStr">
        <is>
          <t>MOVFONDOS - 7687</t>
        </is>
      </c>
      <c r="C339" s="17" t="inlineStr">
        <is>
          <t>Banco Santander Cta Cte $</t>
        </is>
      </c>
      <c r="D339" s="17" t="inlineStr"/>
      <c r="E339" s="18" t="n">
        <v>64999999.99</v>
      </c>
      <c r="F339" s="17" t="n"/>
    </row>
    <row r="340">
      <c r="A340" s="26" t="n">
        <v>46112</v>
      </c>
      <c r="B340" s="17" t="inlineStr">
        <is>
          <t>MOVFONDOS - 7689</t>
        </is>
      </c>
      <c r="C340" s="17" t="inlineStr">
        <is>
          <t>Banco Santander Cta Cte $</t>
        </is>
      </c>
      <c r="D340" s="17" t="inlineStr"/>
      <c r="E340" s="17" t="n"/>
      <c r="F340" s="18" t="n">
        <v>51188596</v>
      </c>
    </row>
    <row r="341">
      <c r="A341" s="26" t="n">
        <v>46112</v>
      </c>
      <c r="B341" s="17" t="inlineStr">
        <is>
          <t>MOVFONDOS - 7690</t>
        </is>
      </c>
      <c r="C341" s="17" t="inlineStr">
        <is>
          <t>Banco Santander Cta Cte $</t>
        </is>
      </c>
      <c r="D341" s="17" t="inlineStr">
        <is>
          <t>2029191366  madariaga/javier / 0029191366 - var /</t>
        </is>
      </c>
      <c r="E341" s="18" t="n">
        <v>324739.8</v>
      </c>
      <c r="F341" s="17" t="n"/>
    </row>
    <row r="342">
      <c r="A342" s="26" t="n">
        <v>46112</v>
      </c>
      <c r="B342" s="17" t="inlineStr">
        <is>
          <t>MOVFONDOS - 7691</t>
        </is>
      </c>
      <c r="C342" s="17" t="inlineStr">
        <is>
          <t>Banco Santander Cta Cte $</t>
        </is>
      </c>
      <c r="D342" s="17" t="inlineStr">
        <is>
          <t>Yawar sa 30718189221</t>
        </is>
      </c>
      <c r="E342" s="18" t="n">
        <v>508388.4</v>
      </c>
      <c r="F342" s="17" t="n"/>
    </row>
    <row r="343">
      <c r="A343" s="26" t="n">
        <v>46112</v>
      </c>
      <c r="B343" s="17" t="inlineStr">
        <is>
          <t>MOVFONDOS - 7696</t>
        </is>
      </c>
      <c r="C343" s="17" t="inlineStr">
        <is>
          <t>Banco Santander Cta Cte $</t>
        </is>
      </c>
      <c r="D343" s="17" t="inlineStr"/>
      <c r="E343" s="18" t="n">
        <v>1000000</v>
      </c>
      <c r="F343" s="17" t="n"/>
    </row>
    <row r="344">
      <c r="A344" s="26" t="n">
        <v>46112</v>
      </c>
      <c r="B344" s="17" t="inlineStr">
        <is>
          <t>MOVFONDOS - 7697</t>
        </is>
      </c>
      <c r="C344" s="17" t="inlineStr">
        <is>
          <t>Banco Santander Cta Cte $</t>
        </is>
      </c>
      <c r="D344" s="17" t="inlineStr"/>
      <c r="E344" s="18" t="n">
        <v>2000000</v>
      </c>
      <c r="F344" s="17" t="n"/>
    </row>
    <row r="345">
      <c r="A345" s="26" t="n">
        <v>46112</v>
      </c>
      <c r="B345" s="17" t="inlineStr">
        <is>
          <t>MOVFONDOS - 7698</t>
        </is>
      </c>
      <c r="C345" s="17" t="inlineStr">
        <is>
          <t>Banco Santander Cta Cte $</t>
        </is>
      </c>
      <c r="D345" s="17" t="inlineStr"/>
      <c r="E345" s="17" t="n"/>
      <c r="F345" s="18" t="n">
        <v>10000000</v>
      </c>
    </row>
    <row r="346">
      <c r="A346" s="26" t="n">
        <v>46112</v>
      </c>
      <c r="B346" s="17" t="inlineStr">
        <is>
          <t>MOVFONDOS - 7699</t>
        </is>
      </c>
      <c r="C346" s="17" t="inlineStr">
        <is>
          <t>Banco Santander Cta Cte $</t>
        </is>
      </c>
      <c r="D346" s="17" t="inlineStr">
        <is>
          <t>83499192</t>
        </is>
      </c>
      <c r="E346" s="18" t="n">
        <v>556855.23</v>
      </c>
      <c r="F346" s="17" t="n"/>
    </row>
    <row r="347">
      <c r="A347" s="26" t="n">
        <v>46112</v>
      </c>
      <c r="B347" s="17" t="inlineStr">
        <is>
          <t>MOVFONDOS - 7699</t>
        </is>
      </c>
      <c r="C347" s="17" t="inlineStr">
        <is>
          <t>Banco Santander Cta Cte $</t>
        </is>
      </c>
      <c r="D347" s="17" t="inlineStr">
        <is>
          <t>90034511</t>
        </is>
      </c>
      <c r="E347" s="18" t="n">
        <v>1149745.59</v>
      </c>
      <c r="F347" s="17" t="n"/>
    </row>
    <row r="348">
      <c r="A348" s="26" t="n">
        <v>46112</v>
      </c>
      <c r="B348" s="17" t="inlineStr">
        <is>
          <t>MOVFONDOS - 7700</t>
        </is>
      </c>
      <c r="C348" s="17" t="inlineStr">
        <is>
          <t>Banco Santander Cta Cte $</t>
        </is>
      </c>
      <c r="D348" s="17" t="inlineStr">
        <is>
          <t>08782384</t>
        </is>
      </c>
      <c r="E348" s="18" t="n">
        <v>3430492</v>
      </c>
      <c r="F348" s="17" t="n"/>
    </row>
    <row r="349">
      <c r="A349" s="26" t="n">
        <v>46112</v>
      </c>
      <c r="B349" s="17" t="inlineStr">
        <is>
          <t>MOVFONDOS - 7700</t>
        </is>
      </c>
      <c r="C349" s="17" t="inlineStr">
        <is>
          <t>Banco Santander Cta Cte $</t>
        </is>
      </c>
      <c r="D349" s="17" t="inlineStr">
        <is>
          <t>09232855</t>
        </is>
      </c>
      <c r="E349" s="18" t="n">
        <v>645536.2</v>
      </c>
      <c r="F349" s="17" t="n"/>
    </row>
    <row r="350">
      <c r="A350" s="26" t="n">
        <v>46112</v>
      </c>
      <c r="B350" s="17" t="inlineStr">
        <is>
          <t>PAGO - 3122</t>
        </is>
      </c>
      <c r="C350" s="17" t="inlineStr">
        <is>
          <t>Banco Santander Cta Cte $</t>
        </is>
      </c>
      <c r="D350" s="17" t="inlineStr"/>
      <c r="E350" s="17" t="n"/>
      <c r="F350" s="18" t="n">
        <v>1175992.01</v>
      </c>
    </row>
    <row r="351">
      <c r="A351" s="26" t="n">
        <v>46112</v>
      </c>
      <c r="B351" s="17" t="inlineStr">
        <is>
          <t>PAGO - 3123</t>
        </is>
      </c>
      <c r="C351" s="17" t="inlineStr">
        <is>
          <t>Banco Santander Cta Cte $</t>
        </is>
      </c>
      <c r="D351" s="17" t="inlineStr"/>
      <c r="E351" s="17" t="n"/>
      <c r="F351" s="18" t="n">
        <v>1113200</v>
      </c>
    </row>
    <row r="352">
      <c r="A352" s="26" t="n">
        <v>46112</v>
      </c>
      <c r="B352" s="17" t="inlineStr">
        <is>
          <t>MOVFONDOS - 7701</t>
        </is>
      </c>
      <c r="C352" s="17" t="inlineStr">
        <is>
          <t>Banco Santander Cta Cte $</t>
        </is>
      </c>
      <c r="D352" s="17" t="inlineStr">
        <is>
          <t>Analen s r l 30663024120</t>
        </is>
      </c>
      <c r="E352" s="18" t="n">
        <v>568430.8</v>
      </c>
      <c r="F352" s="17" t="n"/>
    </row>
    <row r="353">
      <c r="A353" s="26" t="n">
        <v>46112</v>
      </c>
      <c r="B353" s="17" t="inlineStr">
        <is>
          <t>MOVFONDOS - 7702</t>
        </is>
      </c>
      <c r="C353" s="17" t="inlineStr">
        <is>
          <t>Banco Santander Cta Cte $</t>
        </is>
      </c>
      <c r="D353" s="17" t="inlineStr">
        <is>
          <t>Syntex s.a. 30501282444</t>
        </is>
      </c>
      <c r="E353" s="18" t="n">
        <v>388985.6</v>
      </c>
      <c r="F353" s="17" t="n"/>
    </row>
    <row r="354">
      <c r="A354" s="26" t="n">
        <v>46112</v>
      </c>
      <c r="B354" s="17" t="inlineStr">
        <is>
          <t>MOVFONDOS - 7703</t>
        </is>
      </c>
      <c r="C354" s="17" t="inlineStr">
        <is>
          <t>Banco Santander Cta Cte $</t>
        </is>
      </c>
      <c r="D354" s="17" t="inlineStr">
        <is>
          <t>Jose fortunato levy 20103771367</t>
        </is>
      </c>
      <c r="E354" s="18" t="n">
        <v>1647720.94</v>
      </c>
      <c r="F354" s="17" t="n"/>
    </row>
    <row r="355">
      <c r="A355" s="26" t="n">
        <v>46112</v>
      </c>
      <c r="B355" s="17" t="inlineStr">
        <is>
          <t>AGGETNET - 401</t>
        </is>
      </c>
      <c r="C355" s="17" t="inlineStr">
        <is>
          <t>Banco Santander Cta Cte $</t>
        </is>
      </c>
      <c r="D355" s="17" t="inlineStr"/>
      <c r="E355" s="18" t="n">
        <v>89991.03</v>
      </c>
      <c r="F355" s="17" t="n"/>
    </row>
    <row r="356">
      <c r="A356" s="26" t="n">
        <v>46112</v>
      </c>
      <c r="B356" s="17" t="inlineStr">
        <is>
          <t>AGGETNET - 401</t>
        </is>
      </c>
      <c r="C356" s="17" t="inlineStr">
        <is>
          <t>Banco Santander Cta Cte $</t>
        </is>
      </c>
      <c r="D356" s="17" t="inlineStr"/>
      <c r="E356" s="18" t="n">
        <v>257875.59</v>
      </c>
      <c r="F356" s="17" t="n"/>
    </row>
    <row r="357">
      <c r="A357" s="26" t="n">
        <v>46112</v>
      </c>
      <c r="B357" s="17" t="inlineStr">
        <is>
          <t>RESBANC - 220</t>
        </is>
      </c>
      <c r="C357" s="17" t="inlineStr">
        <is>
          <t>Banco Santander Cta Cte $</t>
        </is>
      </c>
      <c r="D357" s="17" t="inlineStr"/>
      <c r="E357" s="17" t="n"/>
      <c r="F357" s="18" t="n">
        <v>5728785.35</v>
      </c>
    </row>
    <row r="358">
      <c r="A358" s="26" t="n">
        <v>46112</v>
      </c>
      <c r="B358" s="17" t="inlineStr">
        <is>
          <t>MOVFONDOS - 7871</t>
        </is>
      </c>
      <c r="C358" s="17" t="inlineStr">
        <is>
          <t>Banco Santander Cta Cte $</t>
        </is>
      </c>
      <c r="D358" s="17" t="inlineStr"/>
      <c r="E358" s="18" t="n">
        <v>15000000</v>
      </c>
      <c r="F358" s="17" t="n"/>
    </row>
    <row r="359">
      <c r="D359" s="28" t="inlineStr">
        <is>
          <t>TOTALES</t>
        </is>
      </c>
      <c r="E359" s="24" t="n">
        <v>423605771.6299999</v>
      </c>
      <c r="F359" s="24" t="n">
        <v>433612748.58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45" customWidth="1" min="3" max="3"/>
    <col width="20" customWidth="1" min="4" max="4"/>
  </cols>
  <sheetData>
    <row r="1">
      <c r="A1" s="22" t="inlineStr">
        <is>
          <t>DETALLE DIARIO DE IMPUESTOS Y GASTOS BANCARIOS - Mar2026</t>
        </is>
      </c>
    </row>
    <row r="3">
      <c r="A3" s="29" t="inlineStr">
        <is>
          <t>COMISION</t>
        </is>
      </c>
    </row>
    <row r="4">
      <c r="A4" s="25" t="inlineStr">
        <is>
          <t>Fecha</t>
        </is>
      </c>
      <c r="B4" s="25" t="inlineStr">
        <is>
          <t>Concepto Banco</t>
        </is>
      </c>
      <c r="C4" s="25" t="inlineStr">
        <is>
          <t>Referencia / Detalle</t>
        </is>
      </c>
      <c r="D4" s="25" t="inlineStr">
        <is>
          <t>Monto</t>
        </is>
      </c>
    </row>
    <row r="5" hidden="1" outlineLevel="1">
      <c r="A5" s="26" t="n">
        <v>46084</v>
      </c>
      <c r="B5" s="17" t="inlineStr">
        <is>
          <t>Comision compensacion cheques cfu</t>
        </is>
      </c>
      <c r="C5" s="17" t="inlineStr"/>
      <c r="D5" s="18" t="n">
        <v>18463.2</v>
      </c>
    </row>
    <row r="6" hidden="1" outlineLevel="1">
      <c r="A6" s="26" t="n">
        <v>46084</v>
      </c>
      <c r="B6" s="17" t="inlineStr">
        <is>
          <t>Comision transf otros bcos canales</t>
        </is>
      </c>
      <c r="C6" s="17" t="inlineStr">
        <is>
          <t xml:space="preserve"> Comision transferencias</t>
        </is>
      </c>
      <c r="D6" s="18" t="n">
        <v>1485</v>
      </c>
    </row>
    <row r="7" hidden="1" outlineLevel="1">
      <c r="A7" s="26" t="n">
        <v>46086</v>
      </c>
      <c r="B7" s="17" t="inlineStr">
        <is>
          <t>Comision transf otros bcos canales</t>
        </is>
      </c>
      <c r="C7" s="17" t="inlineStr">
        <is>
          <t xml:space="preserve"> Comision transferencias</t>
        </is>
      </c>
      <c r="D7" s="18" t="n">
        <v>120</v>
      </c>
    </row>
    <row r="8" hidden="1" outlineLevel="1">
      <c r="A8" s="26" t="n">
        <v>46086</v>
      </c>
      <c r="B8" s="17" t="inlineStr">
        <is>
          <t>Comision transf otros bcos canales</t>
        </is>
      </c>
      <c r="C8" s="17" t="inlineStr">
        <is>
          <t xml:space="preserve"> Comision transferencias</t>
        </is>
      </c>
      <c r="D8" s="18" t="n">
        <v>120</v>
      </c>
    </row>
    <row r="9" hidden="1" outlineLevel="1">
      <c r="A9" s="26" t="n">
        <v>46086</v>
      </c>
      <c r="B9" s="17" t="inlineStr">
        <is>
          <t>Comision transf otros bcos canales</t>
        </is>
      </c>
      <c r="C9" s="17" t="inlineStr">
        <is>
          <t xml:space="preserve"> Comision transferencias</t>
        </is>
      </c>
      <c r="D9" s="18" t="n">
        <v>720</v>
      </c>
    </row>
    <row r="10" hidden="1" outlineLevel="1">
      <c r="A10" s="26" t="n">
        <v>46086</v>
      </c>
      <c r="B10" s="17" t="inlineStr">
        <is>
          <t>Comision transf otros bcos canales</t>
        </is>
      </c>
      <c r="C10" s="17" t="inlineStr">
        <is>
          <t xml:space="preserve"> Comision transferencias</t>
        </is>
      </c>
      <c r="D10" s="18" t="n">
        <v>1485</v>
      </c>
    </row>
    <row r="11" hidden="1" outlineLevel="1">
      <c r="A11" s="26" t="n">
        <v>46086</v>
      </c>
      <c r="B11" s="17" t="inlineStr">
        <is>
          <t>Comision transf otros bcos canales</t>
        </is>
      </c>
      <c r="C11" s="17" t="inlineStr">
        <is>
          <t xml:space="preserve"> Comision transferencias</t>
        </is>
      </c>
      <c r="D11" s="18" t="n">
        <v>1485</v>
      </c>
    </row>
    <row r="12" hidden="1" outlineLevel="1">
      <c r="A12" s="26" t="n">
        <v>46086</v>
      </c>
      <c r="B12" s="17" t="inlineStr">
        <is>
          <t>Comision transf otros bcos canales</t>
        </is>
      </c>
      <c r="C12" s="17" t="inlineStr">
        <is>
          <t xml:space="preserve"> Comision transferencias</t>
        </is>
      </c>
      <c r="D12" s="18" t="n">
        <v>1485</v>
      </c>
    </row>
    <row r="13" hidden="1" outlineLevel="1">
      <c r="A13" s="26" t="n">
        <v>46086</v>
      </c>
      <c r="B13" s="17" t="inlineStr">
        <is>
          <t>Comision transf otros bcos canales</t>
        </is>
      </c>
      <c r="C13" s="17" t="inlineStr">
        <is>
          <t xml:space="preserve"> Comision transferencias</t>
        </is>
      </c>
      <c r="D13" s="18" t="n">
        <v>1485</v>
      </c>
    </row>
    <row r="14" hidden="1" outlineLevel="1">
      <c r="A14" s="26" t="n">
        <v>46090</v>
      </c>
      <c r="B14" s="17" t="inlineStr">
        <is>
          <t>Comision compensacion cheques cfu</t>
        </is>
      </c>
      <c r="C14" s="17" t="inlineStr"/>
      <c r="D14" s="18" t="n">
        <v>4381.07</v>
      </c>
    </row>
    <row r="15" hidden="1" outlineLevel="1">
      <c r="A15" s="26" t="n">
        <v>46090</v>
      </c>
      <c r="B15" s="17" t="inlineStr">
        <is>
          <t>Comision transf otros bcos canales</t>
        </is>
      </c>
      <c r="C15" s="17" t="inlineStr">
        <is>
          <t xml:space="preserve"> Comision transferencias</t>
        </is>
      </c>
      <c r="D15" s="18" t="n">
        <v>720</v>
      </c>
    </row>
    <row r="16" hidden="1" outlineLevel="1">
      <c r="A16" s="26" t="n">
        <v>46091</v>
      </c>
      <c r="B16" s="17" t="inlineStr">
        <is>
          <t>Comision compensacion cheques cfu</t>
        </is>
      </c>
      <c r="C16" s="17" t="inlineStr"/>
      <c r="D16" s="18" t="n">
        <v>8260</v>
      </c>
    </row>
    <row r="17" hidden="1" outlineLevel="1">
      <c r="A17" s="26" t="n">
        <v>46091</v>
      </c>
      <c r="B17" s="17" t="inlineStr">
        <is>
          <t>Comision transf otros bcos canales</t>
        </is>
      </c>
      <c r="C17" s="17" t="inlineStr">
        <is>
          <t xml:space="preserve"> Comision transferencias</t>
        </is>
      </c>
      <c r="D17" s="18" t="n">
        <v>315</v>
      </c>
    </row>
    <row r="18" hidden="1" outlineLevel="1">
      <c r="A18" s="26" t="n">
        <v>46091</v>
      </c>
      <c r="B18" s="17" t="inlineStr">
        <is>
          <t>Comision transf otros bcos canales</t>
        </is>
      </c>
      <c r="C18" s="17" t="inlineStr">
        <is>
          <t xml:space="preserve"> Comision transferencias</t>
        </is>
      </c>
      <c r="D18" s="18" t="n">
        <v>315</v>
      </c>
    </row>
    <row r="19" hidden="1" outlineLevel="1">
      <c r="A19" s="26" t="n">
        <v>46091</v>
      </c>
      <c r="B19" s="17" t="inlineStr">
        <is>
          <t>Comision transf otros bcos canales</t>
        </is>
      </c>
      <c r="C19" s="17" t="inlineStr">
        <is>
          <t xml:space="preserve"> Comision transferencias</t>
        </is>
      </c>
      <c r="D19" s="18" t="n">
        <v>315</v>
      </c>
    </row>
    <row r="20" hidden="1" outlineLevel="1">
      <c r="A20" s="26" t="n">
        <v>46091</v>
      </c>
      <c r="B20" s="17" t="inlineStr">
        <is>
          <t>Comision transf otros bcos canales</t>
        </is>
      </c>
      <c r="C20" s="17" t="inlineStr">
        <is>
          <t xml:space="preserve"> Comision transferencias</t>
        </is>
      </c>
      <c r="D20" s="18" t="n">
        <v>720</v>
      </c>
    </row>
    <row r="21" hidden="1" outlineLevel="1">
      <c r="A21" s="26" t="n">
        <v>46091</v>
      </c>
      <c r="B21" s="17" t="inlineStr">
        <is>
          <t>Comision transf otros bcos canales</t>
        </is>
      </c>
      <c r="C21" s="17" t="inlineStr">
        <is>
          <t xml:space="preserve"> Comision transferencias</t>
        </is>
      </c>
      <c r="D21" s="18" t="n">
        <v>720</v>
      </c>
    </row>
    <row r="22" hidden="1" outlineLevel="1">
      <c r="A22" s="26" t="n">
        <v>46091</v>
      </c>
      <c r="B22" s="17" t="inlineStr">
        <is>
          <t>Comision transf otros bcos canales</t>
        </is>
      </c>
      <c r="C22" s="17" t="inlineStr">
        <is>
          <t xml:space="preserve"> Comision transferencias</t>
        </is>
      </c>
      <c r="D22" s="18" t="n">
        <v>720</v>
      </c>
    </row>
    <row r="23" hidden="1" outlineLevel="1">
      <c r="A23" s="26" t="n">
        <v>46091</v>
      </c>
      <c r="B23" s="17" t="inlineStr">
        <is>
          <t>Comision transf otros bcos canales</t>
        </is>
      </c>
      <c r="C23" s="17" t="inlineStr">
        <is>
          <t xml:space="preserve"> Comision transferencias</t>
        </is>
      </c>
      <c r="D23" s="18" t="n">
        <v>720</v>
      </c>
    </row>
    <row r="24" hidden="1" outlineLevel="1">
      <c r="A24" s="26" t="n">
        <v>46091</v>
      </c>
      <c r="B24" s="17" t="inlineStr">
        <is>
          <t>Comision transf otros bcos canales</t>
        </is>
      </c>
      <c r="C24" s="17" t="inlineStr">
        <is>
          <t xml:space="preserve"> Comision transferencias</t>
        </is>
      </c>
      <c r="D24" s="18" t="n">
        <v>720</v>
      </c>
    </row>
    <row r="25" hidden="1" outlineLevel="1">
      <c r="A25" s="26" t="n">
        <v>46091</v>
      </c>
      <c r="B25" s="17" t="inlineStr">
        <is>
          <t>Comision transf otros bcos canales</t>
        </is>
      </c>
      <c r="C25" s="17" t="inlineStr">
        <is>
          <t xml:space="preserve"> Comision transferencias</t>
        </is>
      </c>
      <c r="D25" s="18" t="n">
        <v>720</v>
      </c>
    </row>
    <row r="26" hidden="1" outlineLevel="1">
      <c r="A26" s="26" t="n">
        <v>46091</v>
      </c>
      <c r="B26" s="17" t="inlineStr">
        <is>
          <t>Comision transf otros bcos canales</t>
        </is>
      </c>
      <c r="C26" s="17" t="inlineStr">
        <is>
          <t xml:space="preserve"> Comision transferencias</t>
        </is>
      </c>
      <c r="D26" s="18" t="n">
        <v>1485</v>
      </c>
    </row>
    <row r="27" hidden="1" outlineLevel="1">
      <c r="A27" s="26" t="n">
        <v>46091</v>
      </c>
      <c r="B27" s="17" t="inlineStr">
        <is>
          <t>Comision transf otros bcos canales</t>
        </is>
      </c>
      <c r="C27" s="17" t="inlineStr">
        <is>
          <t xml:space="preserve"> Comision transferencias</t>
        </is>
      </c>
      <c r="D27" s="18" t="n">
        <v>1485</v>
      </c>
    </row>
    <row r="28" hidden="1" outlineLevel="1">
      <c r="A28" s="26" t="n">
        <v>46091</v>
      </c>
      <c r="B28" s="17" t="inlineStr">
        <is>
          <t>Comision transf otros bcos canales</t>
        </is>
      </c>
      <c r="C28" s="17" t="inlineStr">
        <is>
          <t xml:space="preserve"> Comision transferencias</t>
        </is>
      </c>
      <c r="D28" s="18" t="n">
        <v>1485</v>
      </c>
    </row>
    <row r="29" hidden="1" outlineLevel="1">
      <c r="A29" s="26" t="n">
        <v>46093</v>
      </c>
      <c r="B29" s="17" t="inlineStr">
        <is>
          <t>Comision compensacion cheques cfu</t>
        </is>
      </c>
      <c r="C29" s="17" t="inlineStr"/>
      <c r="D29" s="18" t="n">
        <v>13904.16</v>
      </c>
    </row>
    <row r="30" hidden="1" outlineLevel="1">
      <c r="A30" s="26" t="n">
        <v>46093</v>
      </c>
      <c r="B30" s="17" t="inlineStr">
        <is>
          <t>Comision transf otros bcos canales</t>
        </is>
      </c>
      <c r="C30" s="17" t="inlineStr">
        <is>
          <t xml:space="preserve"> Comision transferencias</t>
        </is>
      </c>
      <c r="D30" s="18" t="n">
        <v>720</v>
      </c>
    </row>
    <row r="31" hidden="1" outlineLevel="1">
      <c r="A31" s="26" t="n">
        <v>46093</v>
      </c>
      <c r="B31" s="17" t="inlineStr">
        <is>
          <t>Comision transf otros bcos canales</t>
        </is>
      </c>
      <c r="C31" s="17" t="inlineStr">
        <is>
          <t xml:space="preserve"> Comision transferencias</t>
        </is>
      </c>
      <c r="D31" s="18" t="n">
        <v>1485</v>
      </c>
    </row>
    <row r="32" hidden="1" outlineLevel="1">
      <c r="A32" s="26" t="n">
        <v>46093</v>
      </c>
      <c r="B32" s="17" t="inlineStr">
        <is>
          <t>Comision transf otros bcos canales</t>
        </is>
      </c>
      <c r="C32" s="17" t="inlineStr">
        <is>
          <t xml:space="preserve"> Comision transferencias</t>
        </is>
      </c>
      <c r="D32" s="18" t="n">
        <v>1485</v>
      </c>
    </row>
    <row r="33" hidden="1" outlineLevel="1">
      <c r="A33" s="26" t="n">
        <v>46093</v>
      </c>
      <c r="B33" s="17" t="inlineStr">
        <is>
          <t>Comision transf otros bcos canales</t>
        </is>
      </c>
      <c r="C33" s="17" t="inlineStr">
        <is>
          <t xml:space="preserve"> Comision transferencias</t>
        </is>
      </c>
      <c r="D33" s="18" t="n">
        <v>1485</v>
      </c>
    </row>
    <row r="34" hidden="1" outlineLevel="1">
      <c r="A34" s="26" t="n">
        <v>46093</v>
      </c>
      <c r="B34" s="17" t="inlineStr">
        <is>
          <t>Comision transf otros bcos canales</t>
        </is>
      </c>
      <c r="C34" s="17" t="inlineStr">
        <is>
          <t xml:space="preserve"> Comision transferencias</t>
        </is>
      </c>
      <c r="D34" s="18" t="n">
        <v>1485</v>
      </c>
    </row>
    <row r="35" hidden="1" outlineLevel="1">
      <c r="A35" s="26" t="n">
        <v>46093</v>
      </c>
      <c r="B35" s="17" t="inlineStr">
        <is>
          <t>Comision transf otros bcos canales</t>
        </is>
      </c>
      <c r="C35" s="17" t="inlineStr">
        <is>
          <t xml:space="preserve"> Comision transferencias</t>
        </is>
      </c>
      <c r="D35" s="18" t="n">
        <v>1485</v>
      </c>
    </row>
    <row r="36" hidden="1" outlineLevel="1">
      <c r="A36" s="26" t="n">
        <v>46094</v>
      </c>
      <c r="B36" s="17" t="inlineStr">
        <is>
          <t>Comision transf otros bcos canales</t>
        </is>
      </c>
      <c r="C36" s="17" t="inlineStr">
        <is>
          <t xml:space="preserve"> Comision transferencias</t>
        </is>
      </c>
      <c r="D36" s="18" t="n">
        <v>1485</v>
      </c>
    </row>
    <row r="37" hidden="1" outlineLevel="1">
      <c r="A37" s="26" t="n">
        <v>46098</v>
      </c>
      <c r="B37" s="17" t="inlineStr">
        <is>
          <t>Comision transf otros bcos canales</t>
        </is>
      </c>
      <c r="C37" s="17" t="inlineStr">
        <is>
          <t xml:space="preserve"> Comision transferencias</t>
        </is>
      </c>
      <c r="D37" s="18" t="n">
        <v>315</v>
      </c>
    </row>
    <row r="38" hidden="1" outlineLevel="1">
      <c r="A38" s="26" t="n">
        <v>46098</v>
      </c>
      <c r="B38" s="17" t="inlineStr">
        <is>
          <t>Comision transf otros bcos canales</t>
        </is>
      </c>
      <c r="C38" s="17" t="inlineStr">
        <is>
          <t xml:space="preserve"> Comision transferencias</t>
        </is>
      </c>
      <c r="D38" s="18" t="n">
        <v>720</v>
      </c>
    </row>
    <row r="39" hidden="1" outlineLevel="1">
      <c r="A39" s="26" t="n">
        <v>46098</v>
      </c>
      <c r="B39" s="17" t="inlineStr">
        <is>
          <t>Comision transf otros bcos canales</t>
        </is>
      </c>
      <c r="C39" s="17" t="inlineStr">
        <is>
          <t xml:space="preserve"> Comision transferencias</t>
        </is>
      </c>
      <c r="D39" s="18" t="n">
        <v>720</v>
      </c>
    </row>
    <row r="40" hidden="1" outlineLevel="1">
      <c r="A40" s="26" t="n">
        <v>46098</v>
      </c>
      <c r="B40" s="17" t="inlineStr">
        <is>
          <t>Comision transf otros bcos canales</t>
        </is>
      </c>
      <c r="C40" s="17" t="inlineStr">
        <is>
          <t xml:space="preserve"> Comision transferencias</t>
        </is>
      </c>
      <c r="D40" s="18" t="n">
        <v>720</v>
      </c>
    </row>
    <row r="41" hidden="1" outlineLevel="1">
      <c r="A41" s="26" t="n">
        <v>46098</v>
      </c>
      <c r="B41" s="17" t="inlineStr">
        <is>
          <t>Comision transf otros bcos canales</t>
        </is>
      </c>
      <c r="C41" s="17" t="inlineStr">
        <is>
          <t xml:space="preserve"> Comision transferencias</t>
        </is>
      </c>
      <c r="D41" s="18" t="n">
        <v>1485</v>
      </c>
    </row>
    <row r="42" hidden="1" outlineLevel="1">
      <c r="A42" s="26" t="n">
        <v>46099</v>
      </c>
      <c r="B42" s="17" t="inlineStr">
        <is>
          <t>Comision compensacion cheques cfu</t>
        </is>
      </c>
      <c r="C42" s="17" t="inlineStr"/>
      <c r="D42" s="18" t="n">
        <v>41472.96</v>
      </c>
    </row>
    <row r="43" hidden="1" outlineLevel="1">
      <c r="A43" s="26" t="n">
        <v>46099</v>
      </c>
      <c r="B43" s="17" t="inlineStr">
        <is>
          <t>Comision transf otros bcos canales</t>
        </is>
      </c>
      <c r="C43" s="17" t="inlineStr">
        <is>
          <t xml:space="preserve"> Comision transferencias</t>
        </is>
      </c>
      <c r="D43" s="18" t="n">
        <v>1485</v>
      </c>
    </row>
    <row r="44" hidden="1" outlineLevel="1">
      <c r="A44" s="26" t="n">
        <v>46100</v>
      </c>
      <c r="B44" s="17" t="inlineStr">
        <is>
          <t>Comision compensacion cheques cfu</t>
        </is>
      </c>
      <c r="C44" s="17" t="inlineStr"/>
      <c r="D44" s="18" t="n">
        <v>2835</v>
      </c>
    </row>
    <row r="45" hidden="1" outlineLevel="1">
      <c r="A45" s="26" t="n">
        <v>46100</v>
      </c>
      <c r="B45" s="17" t="inlineStr">
        <is>
          <t>Comision transf otros bcos canales</t>
        </is>
      </c>
      <c r="C45" s="17" t="inlineStr">
        <is>
          <t xml:space="preserve"> Comision transferencias</t>
        </is>
      </c>
      <c r="D45" s="18" t="n">
        <v>720</v>
      </c>
    </row>
    <row r="46" hidden="1" outlineLevel="1">
      <c r="A46" s="26" t="n">
        <v>46100</v>
      </c>
      <c r="B46" s="17" t="inlineStr">
        <is>
          <t>Comision transf otros bcos canales</t>
        </is>
      </c>
      <c r="C46" s="17" t="inlineStr">
        <is>
          <t xml:space="preserve"> Comision transferencias</t>
        </is>
      </c>
      <c r="D46" s="18" t="n">
        <v>720</v>
      </c>
    </row>
    <row r="47" hidden="1" outlineLevel="1">
      <c r="A47" s="26" t="n">
        <v>46100</v>
      </c>
      <c r="B47" s="17" t="inlineStr">
        <is>
          <t>Comision transf otros bcos canales</t>
        </is>
      </c>
      <c r="C47" s="17" t="inlineStr">
        <is>
          <t xml:space="preserve"> Comision transferencias</t>
        </is>
      </c>
      <c r="D47" s="18" t="n">
        <v>720</v>
      </c>
    </row>
    <row r="48" hidden="1" outlineLevel="1">
      <c r="A48" s="26" t="n">
        <v>46100</v>
      </c>
      <c r="B48" s="17" t="inlineStr">
        <is>
          <t>Comision transf otros bcos canales</t>
        </is>
      </c>
      <c r="C48" s="17" t="inlineStr">
        <is>
          <t xml:space="preserve"> Comision transferencias</t>
        </is>
      </c>
      <c r="D48" s="18" t="n">
        <v>1485</v>
      </c>
    </row>
    <row r="49" hidden="1" outlineLevel="1">
      <c r="A49" s="26" t="n">
        <v>46101</v>
      </c>
      <c r="B49" s="17" t="inlineStr">
        <is>
          <t>Comision compensacion cheques cfu</t>
        </is>
      </c>
      <c r="C49" s="17" t="inlineStr"/>
      <c r="D49" s="18" t="n">
        <v>2835</v>
      </c>
    </row>
    <row r="50" hidden="1" outlineLevel="1">
      <c r="A50" s="26" t="n">
        <v>46106</v>
      </c>
      <c r="B50" s="17" t="inlineStr">
        <is>
          <t>Comision transf otros bcos canales</t>
        </is>
      </c>
      <c r="C50" s="17" t="inlineStr">
        <is>
          <t xml:space="preserve"> Comision transferencias</t>
        </is>
      </c>
      <c r="D50" s="18" t="n">
        <v>720</v>
      </c>
    </row>
    <row r="51" hidden="1" outlineLevel="1">
      <c r="A51" s="26" t="n">
        <v>46106</v>
      </c>
      <c r="B51" s="17" t="inlineStr">
        <is>
          <t>Comision transf otros bcos canales</t>
        </is>
      </c>
      <c r="C51" s="17" t="inlineStr">
        <is>
          <t xml:space="preserve"> Comision transferencias</t>
        </is>
      </c>
      <c r="D51" s="18" t="n">
        <v>720</v>
      </c>
    </row>
    <row r="52" hidden="1" outlineLevel="1">
      <c r="A52" s="26" t="n">
        <v>46106</v>
      </c>
      <c r="B52" s="17" t="inlineStr">
        <is>
          <t>Comision transf otros bcos canales</t>
        </is>
      </c>
      <c r="C52" s="17" t="inlineStr">
        <is>
          <t xml:space="preserve"> Comision transferencias</t>
        </is>
      </c>
      <c r="D52" s="18" t="n">
        <v>1485</v>
      </c>
    </row>
    <row r="53" hidden="1" outlineLevel="1">
      <c r="A53" s="26" t="n">
        <v>46106</v>
      </c>
      <c r="B53" s="17" t="inlineStr">
        <is>
          <t>Comision transf otros bcos canales</t>
        </is>
      </c>
      <c r="C53" s="17" t="inlineStr">
        <is>
          <t xml:space="preserve"> Comision transferencias</t>
        </is>
      </c>
      <c r="D53" s="18" t="n">
        <v>1485</v>
      </c>
    </row>
    <row r="54" hidden="1" outlineLevel="1">
      <c r="A54" s="26" t="n">
        <v>46106</v>
      </c>
      <c r="B54" s="17" t="inlineStr">
        <is>
          <t>Comision transf otros bcos canales</t>
        </is>
      </c>
      <c r="C54" s="17" t="inlineStr">
        <is>
          <t xml:space="preserve"> Comision transferencias</t>
        </is>
      </c>
      <c r="D54" s="18" t="n">
        <v>1485</v>
      </c>
    </row>
    <row r="55" hidden="1" outlineLevel="1">
      <c r="A55" s="26" t="n">
        <v>46106</v>
      </c>
      <c r="B55" s="17" t="inlineStr">
        <is>
          <t>Comision transf otros bcos canales</t>
        </is>
      </c>
      <c r="C55" s="17" t="inlineStr">
        <is>
          <t xml:space="preserve"> Comision transferencias</t>
        </is>
      </c>
      <c r="D55" s="18" t="n">
        <v>1485</v>
      </c>
    </row>
    <row r="56" hidden="1" outlineLevel="1">
      <c r="A56" s="26" t="n">
        <v>46106</v>
      </c>
      <c r="B56" s="17" t="inlineStr">
        <is>
          <t>Comision transf otros bcos canales</t>
        </is>
      </c>
      <c r="C56" s="17" t="inlineStr">
        <is>
          <t xml:space="preserve"> Comision transferencias</t>
        </is>
      </c>
      <c r="D56" s="18" t="n">
        <v>1485</v>
      </c>
    </row>
    <row r="57" hidden="1" outlineLevel="1">
      <c r="A57" s="26" t="n">
        <v>46106</v>
      </c>
      <c r="B57" s="17" t="inlineStr">
        <is>
          <t>Comision transf otros bcos canales</t>
        </is>
      </c>
      <c r="C57" s="17" t="inlineStr">
        <is>
          <t xml:space="preserve"> Comision transferencias</t>
        </is>
      </c>
      <c r="D57" s="18" t="n">
        <v>1485</v>
      </c>
    </row>
    <row r="58" hidden="1" outlineLevel="1">
      <c r="A58" s="26" t="n">
        <v>46107</v>
      </c>
      <c r="B58" s="17" t="inlineStr">
        <is>
          <t>Comision compensacion cheques cfu</t>
        </is>
      </c>
      <c r="C58" s="17" t="inlineStr"/>
      <c r="D58" s="18" t="n">
        <v>24013.44</v>
      </c>
    </row>
    <row r="59" hidden="1" outlineLevel="1">
      <c r="A59" s="26" t="n">
        <v>46111</v>
      </c>
      <c r="B59" s="17" t="inlineStr">
        <is>
          <t>Comision por servicio de cuenta</t>
        </is>
      </c>
      <c r="C59" s="17" t="inlineStr"/>
      <c r="D59" s="18" t="n">
        <v>57500</v>
      </c>
    </row>
    <row r="60" hidden="1" outlineLevel="1">
      <c r="A60" s="26" t="n">
        <v>46111</v>
      </c>
      <c r="B60" s="17" t="inlineStr">
        <is>
          <t>Comision servicio cuenta dolares</t>
        </is>
      </c>
      <c r="C60" s="17" t="inlineStr"/>
      <c r="D60" s="18" t="n">
        <v>13825</v>
      </c>
    </row>
    <row r="61" hidden="1" outlineLevel="1">
      <c r="A61" s="26" t="n">
        <v>46111</v>
      </c>
      <c r="B61" s="17" t="inlineStr">
        <is>
          <t>Comision transf otros bcos canales</t>
        </is>
      </c>
      <c r="C61" s="17" t="inlineStr">
        <is>
          <t xml:space="preserve"> Comision transferencias</t>
        </is>
      </c>
      <c r="D61" s="18" t="n">
        <v>720</v>
      </c>
    </row>
    <row r="62" hidden="1" outlineLevel="1">
      <c r="A62" s="26" t="n">
        <v>46111</v>
      </c>
      <c r="B62" s="17" t="inlineStr">
        <is>
          <t>Comision transf otros bcos canales</t>
        </is>
      </c>
      <c r="C62" s="17" t="inlineStr">
        <is>
          <t xml:space="preserve"> Comision transferencias</t>
        </is>
      </c>
      <c r="D62" s="18" t="n">
        <v>1485</v>
      </c>
    </row>
    <row r="63" hidden="1" outlineLevel="1">
      <c r="A63" s="26" t="n">
        <v>46111</v>
      </c>
      <c r="B63" s="17" t="inlineStr">
        <is>
          <t>Comision transf otros bcos canales</t>
        </is>
      </c>
      <c r="C63" s="17" t="inlineStr">
        <is>
          <t xml:space="preserve"> Comision transferencias</t>
        </is>
      </c>
      <c r="D63" s="18" t="n">
        <v>1485</v>
      </c>
    </row>
    <row r="64">
      <c r="A64" s="27" t="n"/>
      <c r="B64" s="27" t="n"/>
      <c r="C64" s="20" t="inlineStr">
        <is>
          <t>TOTAL COMISION</t>
        </is>
      </c>
      <c r="D64" s="21">
        <f>SUM(D5:D63)</f>
        <v/>
      </c>
    </row>
    <row r="66">
      <c r="A66" s="29" t="inlineStr">
        <is>
          <t>IVA</t>
        </is>
      </c>
    </row>
    <row r="67">
      <c r="A67" s="25" t="inlineStr">
        <is>
          <t>Fecha</t>
        </is>
      </c>
      <c r="B67" s="25" t="inlineStr">
        <is>
          <t>Concepto Banco</t>
        </is>
      </c>
      <c r="C67" s="25" t="inlineStr">
        <is>
          <t>Referencia / Detalle</t>
        </is>
      </c>
      <c r="D67" s="25" t="inlineStr">
        <is>
          <t>Monto</t>
        </is>
      </c>
    </row>
    <row r="68" hidden="1" outlineLevel="1">
      <c r="A68" s="26" t="n">
        <v>46084</v>
      </c>
      <c r="B68" s="17" t="inlineStr">
        <is>
          <t>Iva 21% reg de transfisc ley27743</t>
        </is>
      </c>
      <c r="C68" s="17" t="inlineStr"/>
      <c r="D68" s="18" t="n">
        <v>3877.27</v>
      </c>
    </row>
    <row r="69" hidden="1" outlineLevel="1">
      <c r="A69" s="26" t="n">
        <v>46084</v>
      </c>
      <c r="B69" s="17" t="inlineStr">
        <is>
          <t>Iva 21% reg de transfisc ley27743</t>
        </is>
      </c>
      <c r="C69" s="17" t="inlineStr"/>
      <c r="D69" s="18" t="n">
        <v>311.85</v>
      </c>
    </row>
    <row r="70" hidden="1" outlineLevel="1">
      <c r="A70" s="26" t="n">
        <v>46086</v>
      </c>
      <c r="B70" s="17" t="inlineStr">
        <is>
          <t>Iva 21% reg de transfisc ley27743</t>
        </is>
      </c>
      <c r="C70" s="17" t="inlineStr"/>
      <c r="D70" s="18" t="n">
        <v>25.2</v>
      </c>
    </row>
    <row r="71" hidden="1" outlineLevel="1">
      <c r="A71" s="26" t="n">
        <v>46086</v>
      </c>
      <c r="B71" s="17" t="inlineStr">
        <is>
          <t>Iva 21% reg de transfisc ley27743</t>
        </is>
      </c>
      <c r="C71" s="17" t="inlineStr"/>
      <c r="D71" s="18" t="n">
        <v>25.2</v>
      </c>
    </row>
    <row r="72" hidden="1" outlineLevel="1">
      <c r="A72" s="26" t="n">
        <v>46086</v>
      </c>
      <c r="B72" s="17" t="inlineStr">
        <is>
          <t>Iva 21% reg de transfisc ley27743</t>
        </is>
      </c>
      <c r="C72" s="17" t="inlineStr"/>
      <c r="D72" s="18" t="n">
        <v>151.2</v>
      </c>
    </row>
    <row r="73" hidden="1" outlineLevel="1">
      <c r="A73" s="26" t="n">
        <v>46086</v>
      </c>
      <c r="B73" s="17" t="inlineStr">
        <is>
          <t>Iva 21% reg de transfisc ley27743</t>
        </is>
      </c>
      <c r="C73" s="17" t="inlineStr"/>
      <c r="D73" s="18" t="n">
        <v>311.85</v>
      </c>
    </row>
    <row r="74" hidden="1" outlineLevel="1">
      <c r="A74" s="26" t="n">
        <v>46086</v>
      </c>
      <c r="B74" s="17" t="inlineStr">
        <is>
          <t>Iva 21% reg de transfisc ley27743</t>
        </is>
      </c>
      <c r="C74" s="17" t="inlineStr"/>
      <c r="D74" s="18" t="n">
        <v>311.85</v>
      </c>
    </row>
    <row r="75" hidden="1" outlineLevel="1">
      <c r="A75" s="26" t="n">
        <v>46086</v>
      </c>
      <c r="B75" s="17" t="inlineStr">
        <is>
          <t>Iva 21% reg de transfisc ley27743</t>
        </is>
      </c>
      <c r="C75" s="17" t="inlineStr"/>
      <c r="D75" s="18" t="n">
        <v>311.85</v>
      </c>
    </row>
    <row r="76" hidden="1" outlineLevel="1">
      <c r="A76" s="26" t="n">
        <v>46086</v>
      </c>
      <c r="B76" s="17" t="inlineStr">
        <is>
          <t>Iva 21% reg de transfisc ley27743</t>
        </is>
      </c>
      <c r="C76" s="17" t="inlineStr"/>
      <c r="D76" s="18" t="n">
        <v>311.85</v>
      </c>
    </row>
    <row r="77" hidden="1" outlineLevel="1">
      <c r="A77" s="26" t="n">
        <v>46090</v>
      </c>
      <c r="B77" s="17" t="inlineStr">
        <is>
          <t>Iva 21% reg de transfisc ley27743</t>
        </is>
      </c>
      <c r="C77" s="17" t="inlineStr"/>
      <c r="D77" s="18" t="n">
        <v>920.02</v>
      </c>
    </row>
    <row r="78" hidden="1" outlineLevel="1">
      <c r="A78" s="26" t="n">
        <v>46090</v>
      </c>
      <c r="B78" s="17" t="inlineStr">
        <is>
          <t>Iva 21% reg de transfisc ley27743</t>
        </is>
      </c>
      <c r="C78" s="17" t="inlineStr"/>
      <c r="D78" s="18" t="n">
        <v>151.2</v>
      </c>
    </row>
    <row r="79" hidden="1" outlineLevel="1">
      <c r="A79" s="26" t="n">
        <v>46091</v>
      </c>
      <c r="B79" s="17" t="inlineStr">
        <is>
          <t>Iva 21% reg de transfisc ley27743</t>
        </is>
      </c>
      <c r="C79" s="17" t="inlineStr"/>
      <c r="D79" s="18" t="n">
        <v>1734.6</v>
      </c>
    </row>
    <row r="80" hidden="1" outlineLevel="1">
      <c r="A80" s="26" t="n">
        <v>46091</v>
      </c>
      <c r="B80" s="17" t="inlineStr">
        <is>
          <t>Iva 21% reg de transfisc ley27743</t>
        </is>
      </c>
      <c r="C80" s="17" t="inlineStr"/>
      <c r="D80" s="18" t="n">
        <v>66.15000000000001</v>
      </c>
    </row>
    <row r="81" hidden="1" outlineLevel="1">
      <c r="A81" s="26" t="n">
        <v>46091</v>
      </c>
      <c r="B81" s="17" t="inlineStr">
        <is>
          <t>Iva 21% reg de transfisc ley27743</t>
        </is>
      </c>
      <c r="C81" s="17" t="inlineStr"/>
      <c r="D81" s="18" t="n">
        <v>66.15000000000001</v>
      </c>
    </row>
    <row r="82" hidden="1" outlineLevel="1">
      <c r="A82" s="26" t="n">
        <v>46091</v>
      </c>
      <c r="B82" s="17" t="inlineStr">
        <is>
          <t>Iva 21% reg de transfisc ley27743</t>
        </is>
      </c>
      <c r="C82" s="17" t="inlineStr"/>
      <c r="D82" s="18" t="n">
        <v>66.15000000000001</v>
      </c>
    </row>
    <row r="83" hidden="1" outlineLevel="1">
      <c r="A83" s="26" t="n">
        <v>46091</v>
      </c>
      <c r="B83" s="17" t="inlineStr">
        <is>
          <t>Iva 21% reg de transfisc ley27743</t>
        </is>
      </c>
      <c r="C83" s="17" t="inlineStr"/>
      <c r="D83" s="18" t="n">
        <v>151.2</v>
      </c>
    </row>
    <row r="84" hidden="1" outlineLevel="1">
      <c r="A84" s="26" t="n">
        <v>46091</v>
      </c>
      <c r="B84" s="17" t="inlineStr">
        <is>
          <t>Iva 21% reg de transfisc ley27743</t>
        </is>
      </c>
      <c r="C84" s="17" t="inlineStr"/>
      <c r="D84" s="18" t="n">
        <v>151.2</v>
      </c>
    </row>
    <row r="85" hidden="1" outlineLevel="1">
      <c r="A85" s="26" t="n">
        <v>46091</v>
      </c>
      <c r="B85" s="17" t="inlineStr">
        <is>
          <t>Iva 21% reg de transfisc ley27743</t>
        </is>
      </c>
      <c r="C85" s="17" t="inlineStr"/>
      <c r="D85" s="18" t="n">
        <v>151.2</v>
      </c>
    </row>
    <row r="86" hidden="1" outlineLevel="1">
      <c r="A86" s="26" t="n">
        <v>46091</v>
      </c>
      <c r="B86" s="17" t="inlineStr">
        <is>
          <t>Iva 21% reg de transfisc ley27743</t>
        </is>
      </c>
      <c r="C86" s="17" t="inlineStr"/>
      <c r="D86" s="18" t="n">
        <v>151.2</v>
      </c>
    </row>
    <row r="87" hidden="1" outlineLevel="1">
      <c r="A87" s="26" t="n">
        <v>46091</v>
      </c>
      <c r="B87" s="17" t="inlineStr">
        <is>
          <t>Iva 21% reg de transfisc ley27743</t>
        </is>
      </c>
      <c r="C87" s="17" t="inlineStr"/>
      <c r="D87" s="18" t="n">
        <v>151.2</v>
      </c>
    </row>
    <row r="88" hidden="1" outlineLevel="1">
      <c r="A88" s="26" t="n">
        <v>46091</v>
      </c>
      <c r="B88" s="17" t="inlineStr">
        <is>
          <t>Iva 21% reg de transfisc ley27743</t>
        </is>
      </c>
      <c r="C88" s="17" t="inlineStr"/>
      <c r="D88" s="18" t="n">
        <v>151.2</v>
      </c>
    </row>
    <row r="89" hidden="1" outlineLevel="1">
      <c r="A89" s="26" t="n">
        <v>46091</v>
      </c>
      <c r="B89" s="17" t="inlineStr">
        <is>
          <t>Iva 21% reg de transfisc ley27743</t>
        </is>
      </c>
      <c r="C89" s="17" t="inlineStr"/>
      <c r="D89" s="18" t="n">
        <v>311.85</v>
      </c>
    </row>
    <row r="90" hidden="1" outlineLevel="1">
      <c r="A90" s="26" t="n">
        <v>46091</v>
      </c>
      <c r="B90" s="17" t="inlineStr">
        <is>
          <t>Iva 21% reg de transfisc ley27743</t>
        </is>
      </c>
      <c r="C90" s="17" t="inlineStr"/>
      <c r="D90" s="18" t="n">
        <v>311.85</v>
      </c>
    </row>
    <row r="91" hidden="1" outlineLevel="1">
      <c r="A91" s="26" t="n">
        <v>46091</v>
      </c>
      <c r="B91" s="17" t="inlineStr">
        <is>
          <t>Iva 21% reg de transfisc ley27743</t>
        </is>
      </c>
      <c r="C91" s="17" t="inlineStr"/>
      <c r="D91" s="18" t="n">
        <v>311.85</v>
      </c>
    </row>
    <row r="92" hidden="1" outlineLevel="1">
      <c r="A92" s="26" t="n">
        <v>46093</v>
      </c>
      <c r="B92" s="17" t="inlineStr">
        <is>
          <t>Iva 21% reg de transfisc ley27743</t>
        </is>
      </c>
      <c r="C92" s="17" t="inlineStr"/>
      <c r="D92" s="18" t="n">
        <v>2919.87</v>
      </c>
    </row>
    <row r="93" hidden="1" outlineLevel="1">
      <c r="A93" s="26" t="n">
        <v>46093</v>
      </c>
      <c r="B93" s="17" t="inlineStr">
        <is>
          <t>Iva 21% reg de transfisc ley27743</t>
        </is>
      </c>
      <c r="C93" s="17" t="inlineStr"/>
      <c r="D93" s="18" t="n">
        <v>151.2</v>
      </c>
    </row>
    <row r="94" hidden="1" outlineLevel="1">
      <c r="A94" s="26" t="n">
        <v>46093</v>
      </c>
      <c r="B94" s="17" t="inlineStr">
        <is>
          <t>Iva 21% reg de transfisc ley27743</t>
        </is>
      </c>
      <c r="C94" s="17" t="inlineStr"/>
      <c r="D94" s="18" t="n">
        <v>311.85</v>
      </c>
    </row>
    <row r="95" hidden="1" outlineLevel="1">
      <c r="A95" s="26" t="n">
        <v>46093</v>
      </c>
      <c r="B95" s="17" t="inlineStr">
        <is>
          <t>Iva 21% reg de transfisc ley27743</t>
        </is>
      </c>
      <c r="C95" s="17" t="inlineStr"/>
      <c r="D95" s="18" t="n">
        <v>311.85</v>
      </c>
    </row>
    <row r="96" hidden="1" outlineLevel="1">
      <c r="A96" s="26" t="n">
        <v>46093</v>
      </c>
      <c r="B96" s="17" t="inlineStr">
        <is>
          <t>Iva 21% reg de transfisc ley27743</t>
        </is>
      </c>
      <c r="C96" s="17" t="inlineStr"/>
      <c r="D96" s="18" t="n">
        <v>311.85</v>
      </c>
    </row>
    <row r="97" hidden="1" outlineLevel="1">
      <c r="A97" s="26" t="n">
        <v>46093</v>
      </c>
      <c r="B97" s="17" t="inlineStr">
        <is>
          <t>Iva 21% reg de transfisc ley27743</t>
        </is>
      </c>
      <c r="C97" s="17" t="inlineStr"/>
      <c r="D97" s="18" t="n">
        <v>311.85</v>
      </c>
    </row>
    <row r="98" hidden="1" outlineLevel="1">
      <c r="A98" s="26" t="n">
        <v>46093</v>
      </c>
      <c r="B98" s="17" t="inlineStr">
        <is>
          <t>Iva 21% reg de transfisc ley27743</t>
        </is>
      </c>
      <c r="C98" s="17" t="inlineStr"/>
      <c r="D98" s="18" t="n">
        <v>311.85</v>
      </c>
    </row>
    <row r="99" hidden="1" outlineLevel="1">
      <c r="A99" s="26" t="n">
        <v>46094</v>
      </c>
      <c r="B99" s="17" t="inlineStr">
        <is>
          <t>Iva 21% reg de transfisc ley27743</t>
        </is>
      </c>
      <c r="C99" s="17" t="inlineStr"/>
      <c r="D99" s="18" t="n">
        <v>311.85</v>
      </c>
    </row>
    <row r="100" hidden="1" outlineLevel="1">
      <c r="A100" s="26" t="n">
        <v>46098</v>
      </c>
      <c r="B100" s="17" t="inlineStr">
        <is>
          <t>Iva 21% reg de transfisc ley27743</t>
        </is>
      </c>
      <c r="C100" s="17" t="inlineStr"/>
      <c r="D100" s="18" t="n">
        <v>66.15000000000001</v>
      </c>
    </row>
    <row r="101" hidden="1" outlineLevel="1">
      <c r="A101" s="26" t="n">
        <v>46098</v>
      </c>
      <c r="B101" s="17" t="inlineStr">
        <is>
          <t>Iva 21% reg de transfisc ley27743</t>
        </is>
      </c>
      <c r="C101" s="17" t="inlineStr"/>
      <c r="D101" s="18" t="n">
        <v>151.2</v>
      </c>
    </row>
    <row r="102" hidden="1" outlineLevel="1">
      <c r="A102" s="26" t="n">
        <v>46098</v>
      </c>
      <c r="B102" s="17" t="inlineStr">
        <is>
          <t>Iva 21% reg de transfisc ley27743</t>
        </is>
      </c>
      <c r="C102" s="17" t="inlineStr"/>
      <c r="D102" s="18" t="n">
        <v>151.2</v>
      </c>
    </row>
    <row r="103" hidden="1" outlineLevel="1">
      <c r="A103" s="26" t="n">
        <v>46098</v>
      </c>
      <c r="B103" s="17" t="inlineStr">
        <is>
          <t>Iva 21% reg de transfisc ley27743</t>
        </is>
      </c>
      <c r="C103" s="17" t="inlineStr"/>
      <c r="D103" s="18" t="n">
        <v>151.2</v>
      </c>
    </row>
    <row r="104" hidden="1" outlineLevel="1">
      <c r="A104" s="26" t="n">
        <v>46098</v>
      </c>
      <c r="B104" s="17" t="inlineStr">
        <is>
          <t>Iva 21% reg de transfisc ley27743</t>
        </is>
      </c>
      <c r="C104" s="17" t="inlineStr"/>
      <c r="D104" s="18" t="n">
        <v>311.85</v>
      </c>
    </row>
    <row r="105" hidden="1" outlineLevel="1">
      <c r="A105" s="26" t="n">
        <v>46099</v>
      </c>
      <c r="B105" s="17" t="inlineStr">
        <is>
          <t>Iva 21% reg de transfisc ley27743</t>
        </is>
      </c>
      <c r="C105" s="17" t="inlineStr"/>
      <c r="D105" s="18" t="n">
        <v>8709.32</v>
      </c>
    </row>
    <row r="106" hidden="1" outlineLevel="1">
      <c r="A106" s="26" t="n">
        <v>46099</v>
      </c>
      <c r="B106" s="17" t="inlineStr">
        <is>
          <t>Iva 21% reg de transfisc ley27743</t>
        </is>
      </c>
      <c r="C106" s="17" t="inlineStr"/>
      <c r="D106" s="18" t="n">
        <v>311.85</v>
      </c>
    </row>
    <row r="107" hidden="1" outlineLevel="1">
      <c r="A107" s="26" t="n">
        <v>46100</v>
      </c>
      <c r="B107" s="17" t="inlineStr">
        <is>
          <t>Iva 21% reg de transfisc ley27743</t>
        </is>
      </c>
      <c r="C107" s="17" t="inlineStr"/>
      <c r="D107" s="18" t="n">
        <v>595.35</v>
      </c>
    </row>
    <row r="108" hidden="1" outlineLevel="1">
      <c r="A108" s="26" t="n">
        <v>46100</v>
      </c>
      <c r="B108" s="17" t="inlineStr">
        <is>
          <t>Iva 21% reg de transfisc ley27743</t>
        </is>
      </c>
      <c r="C108" s="17" t="inlineStr"/>
      <c r="D108" s="18" t="n">
        <v>151.2</v>
      </c>
    </row>
    <row r="109" hidden="1" outlineLevel="1">
      <c r="A109" s="26" t="n">
        <v>46100</v>
      </c>
      <c r="B109" s="17" t="inlineStr">
        <is>
          <t>Iva 21% reg de transfisc ley27743</t>
        </is>
      </c>
      <c r="C109" s="17" t="inlineStr"/>
      <c r="D109" s="18" t="n">
        <v>151.2</v>
      </c>
    </row>
    <row r="110" hidden="1" outlineLevel="1">
      <c r="A110" s="26" t="n">
        <v>46100</v>
      </c>
      <c r="B110" s="17" t="inlineStr">
        <is>
          <t>Iva 21% reg de transfisc ley27743</t>
        </is>
      </c>
      <c r="C110" s="17" t="inlineStr"/>
      <c r="D110" s="18" t="n">
        <v>151.2</v>
      </c>
    </row>
    <row r="111" hidden="1" outlineLevel="1">
      <c r="A111" s="26" t="n">
        <v>46100</v>
      </c>
      <c r="B111" s="17" t="inlineStr">
        <is>
          <t>Iva 21% reg de transfisc ley27743</t>
        </is>
      </c>
      <c r="C111" s="17" t="inlineStr"/>
      <c r="D111" s="18" t="n">
        <v>311.85</v>
      </c>
    </row>
    <row r="112" hidden="1" outlineLevel="1">
      <c r="A112" s="26" t="n">
        <v>46101</v>
      </c>
      <c r="B112" s="17" t="inlineStr">
        <is>
          <t>Iva 21% reg de transfisc ley27743</t>
        </is>
      </c>
      <c r="C112" s="17" t="inlineStr"/>
      <c r="D112" s="18" t="n">
        <v>595.35</v>
      </c>
    </row>
    <row r="113" hidden="1" outlineLevel="1">
      <c r="A113" s="26" t="n">
        <v>46106</v>
      </c>
      <c r="B113" s="17" t="inlineStr">
        <is>
          <t>Iva 21% reg de transfisc ley27743</t>
        </is>
      </c>
      <c r="C113" s="17" t="inlineStr"/>
      <c r="D113" s="18" t="n">
        <v>151.2</v>
      </c>
    </row>
    <row r="114" hidden="1" outlineLevel="1">
      <c r="A114" s="26" t="n">
        <v>46106</v>
      </c>
      <c r="B114" s="17" t="inlineStr">
        <is>
          <t>Iva 21% reg de transfisc ley27743</t>
        </is>
      </c>
      <c r="C114" s="17" t="inlineStr"/>
      <c r="D114" s="18" t="n">
        <v>151.2</v>
      </c>
    </row>
    <row r="115" hidden="1" outlineLevel="1">
      <c r="A115" s="26" t="n">
        <v>46106</v>
      </c>
      <c r="B115" s="17" t="inlineStr">
        <is>
          <t>Iva 21% reg de transfisc ley27743</t>
        </is>
      </c>
      <c r="C115" s="17" t="inlineStr"/>
      <c r="D115" s="18" t="n">
        <v>311.85</v>
      </c>
    </row>
    <row r="116" hidden="1" outlineLevel="1">
      <c r="A116" s="26" t="n">
        <v>46106</v>
      </c>
      <c r="B116" s="17" t="inlineStr">
        <is>
          <t>Iva 21% reg de transfisc ley27743</t>
        </is>
      </c>
      <c r="C116" s="17" t="inlineStr"/>
      <c r="D116" s="18" t="n">
        <v>311.85</v>
      </c>
    </row>
    <row r="117" hidden="1" outlineLevel="1">
      <c r="A117" s="26" t="n">
        <v>46106</v>
      </c>
      <c r="B117" s="17" t="inlineStr">
        <is>
          <t>Iva 21% reg de transfisc ley27743</t>
        </is>
      </c>
      <c r="C117" s="17" t="inlineStr"/>
      <c r="D117" s="18" t="n">
        <v>311.85</v>
      </c>
    </row>
    <row r="118" hidden="1" outlineLevel="1">
      <c r="A118" s="26" t="n">
        <v>46106</v>
      </c>
      <c r="B118" s="17" t="inlineStr">
        <is>
          <t>Iva 21% reg de transfisc ley27743</t>
        </is>
      </c>
      <c r="C118" s="17" t="inlineStr"/>
      <c r="D118" s="18" t="n">
        <v>311.85</v>
      </c>
    </row>
    <row r="119" hidden="1" outlineLevel="1">
      <c r="A119" s="26" t="n">
        <v>46106</v>
      </c>
      <c r="B119" s="17" t="inlineStr">
        <is>
          <t>Iva 21% reg de transfisc ley27743</t>
        </is>
      </c>
      <c r="C119" s="17" t="inlineStr"/>
      <c r="D119" s="18" t="n">
        <v>311.85</v>
      </c>
    </row>
    <row r="120" hidden="1" outlineLevel="1">
      <c r="A120" s="26" t="n">
        <v>46106</v>
      </c>
      <c r="B120" s="17" t="inlineStr">
        <is>
          <t>Iva 21% reg de transfisc ley27743</t>
        </is>
      </c>
      <c r="C120" s="17" t="inlineStr"/>
      <c r="D120" s="18" t="n">
        <v>311.85</v>
      </c>
    </row>
    <row r="121" hidden="1" outlineLevel="1">
      <c r="A121" s="26" t="n">
        <v>46107</v>
      </c>
      <c r="B121" s="17" t="inlineStr">
        <is>
          <t>Iva 21% reg de transfisc ley27743</t>
        </is>
      </c>
      <c r="C121" s="17" t="inlineStr"/>
      <c r="D121" s="18" t="n">
        <v>5042.82</v>
      </c>
    </row>
    <row r="122" hidden="1" outlineLevel="1">
      <c r="A122" s="26" t="n">
        <v>46111</v>
      </c>
      <c r="B122" s="17" t="inlineStr">
        <is>
          <t>Iva 21% reg de transfisc ley27743</t>
        </is>
      </c>
      <c r="C122" s="17" t="inlineStr"/>
      <c r="D122" s="18" t="n">
        <v>12075</v>
      </c>
    </row>
    <row r="123" hidden="1" outlineLevel="1">
      <c r="A123" s="26" t="n">
        <v>46111</v>
      </c>
      <c r="B123" s="17" t="inlineStr">
        <is>
          <t>Iva 21% reg de transfisc ley27743</t>
        </is>
      </c>
      <c r="C123" s="17" t="inlineStr"/>
      <c r="D123" s="18" t="n">
        <v>2903.25</v>
      </c>
    </row>
    <row r="124" hidden="1" outlineLevel="1">
      <c r="A124" s="26" t="n">
        <v>46111</v>
      </c>
      <c r="B124" s="17" t="inlineStr">
        <is>
          <t>Iva 21% reg de transfisc ley27743</t>
        </is>
      </c>
      <c r="C124" s="17" t="inlineStr"/>
      <c r="D124" s="18" t="n">
        <v>151.2</v>
      </c>
    </row>
    <row r="125" hidden="1" outlineLevel="1">
      <c r="A125" s="26" t="n">
        <v>46111</v>
      </c>
      <c r="B125" s="17" t="inlineStr">
        <is>
          <t>Iva 21% reg de transfisc ley27743</t>
        </is>
      </c>
      <c r="C125" s="17" t="inlineStr"/>
      <c r="D125" s="18" t="n">
        <v>311.85</v>
      </c>
    </row>
    <row r="126" hidden="1" outlineLevel="1">
      <c r="A126" s="26" t="n">
        <v>46111</v>
      </c>
      <c r="B126" s="17" t="inlineStr">
        <is>
          <t>Iva 21% reg de transfisc ley27743</t>
        </is>
      </c>
      <c r="C126" s="17" t="inlineStr"/>
      <c r="D126" s="18" t="n">
        <v>311.85</v>
      </c>
    </row>
    <row r="127">
      <c r="A127" s="27" t="n"/>
      <c r="B127" s="27" t="n"/>
      <c r="C127" s="20" t="inlineStr">
        <is>
          <t>TOTAL IVA</t>
        </is>
      </c>
      <c r="D127" s="21">
        <f>SUM(D68:D126)</f>
        <v/>
      </c>
    </row>
    <row r="129">
      <c r="A129" s="29" t="inlineStr">
        <is>
          <t>IVA PERCEPCION</t>
        </is>
      </c>
    </row>
    <row r="130">
      <c r="A130" s="25" t="inlineStr">
        <is>
          <t>Fecha</t>
        </is>
      </c>
      <c r="B130" s="25" t="inlineStr">
        <is>
          <t>Concepto Banco</t>
        </is>
      </c>
      <c r="C130" s="25" t="inlineStr">
        <is>
          <t>Referencia / Detalle</t>
        </is>
      </c>
      <c r="D130" s="25" t="inlineStr">
        <is>
          <t>Monto</t>
        </is>
      </c>
    </row>
    <row r="131" hidden="1" outlineLevel="1">
      <c r="A131" s="26" t="n">
        <v>46084</v>
      </c>
      <c r="B131" s="17" t="inlineStr">
        <is>
          <t>Iva percepcion rg 2408</t>
        </is>
      </c>
      <c r="C131" s="17" t="inlineStr"/>
      <c r="D131" s="18" t="n">
        <v>553.9</v>
      </c>
    </row>
    <row r="132" hidden="1" outlineLevel="1">
      <c r="A132" s="26" t="n">
        <v>46090</v>
      </c>
      <c r="B132" s="17" t="inlineStr">
        <is>
          <t>Iva percepcion rg 2408</t>
        </is>
      </c>
      <c r="C132" s="17" t="inlineStr"/>
      <c r="D132" s="18" t="n">
        <v>131.43</v>
      </c>
    </row>
    <row r="133" hidden="1" outlineLevel="1">
      <c r="A133" s="26" t="n">
        <v>46091</v>
      </c>
      <c r="B133" s="17" t="inlineStr">
        <is>
          <t>Iva percepcion rg 2408</t>
        </is>
      </c>
      <c r="C133" s="17" t="inlineStr"/>
      <c r="D133" s="18" t="n">
        <v>247.8</v>
      </c>
    </row>
    <row r="134" hidden="1" outlineLevel="1">
      <c r="A134" s="26" t="n">
        <v>46093</v>
      </c>
      <c r="B134" s="17" t="inlineStr">
        <is>
          <t>Iva percepcion rg 2408</t>
        </is>
      </c>
      <c r="C134" s="17" t="inlineStr"/>
      <c r="D134" s="18" t="n">
        <v>417.12</v>
      </c>
    </row>
    <row r="135" hidden="1" outlineLevel="1">
      <c r="A135" s="26" t="n">
        <v>46099</v>
      </c>
      <c r="B135" s="17" t="inlineStr">
        <is>
          <t>Iva percepcion rg 2408</t>
        </is>
      </c>
      <c r="C135" s="17" t="inlineStr"/>
      <c r="D135" s="18" t="n">
        <v>1244.19</v>
      </c>
    </row>
    <row r="136" hidden="1" outlineLevel="1">
      <c r="A136" s="26" t="n">
        <v>46100</v>
      </c>
      <c r="B136" s="17" t="inlineStr">
        <is>
          <t>Iva percepcion rg 2408</t>
        </is>
      </c>
      <c r="C136" s="17" t="inlineStr"/>
      <c r="D136" s="18" t="n">
        <v>85.05</v>
      </c>
    </row>
    <row r="137" hidden="1" outlineLevel="1">
      <c r="A137" s="26" t="n">
        <v>46101</v>
      </c>
      <c r="B137" s="17" t="inlineStr">
        <is>
          <t>Iva percepcion rg 2408</t>
        </is>
      </c>
      <c r="C137" s="17" t="inlineStr"/>
      <c r="D137" s="18" t="n">
        <v>85.05</v>
      </c>
    </row>
    <row r="138" hidden="1" outlineLevel="1">
      <c r="A138" s="26" t="n">
        <v>46107</v>
      </c>
      <c r="B138" s="17" t="inlineStr">
        <is>
          <t>Iva percepcion rg 2408</t>
        </is>
      </c>
      <c r="C138" s="17" t="inlineStr"/>
      <c r="D138" s="18" t="n">
        <v>720.4</v>
      </c>
    </row>
    <row r="139" hidden="1" outlineLevel="1">
      <c r="A139" s="26" t="n">
        <v>46111</v>
      </c>
      <c r="B139" s="17" t="inlineStr">
        <is>
          <t>Iva percepcion rg 2408</t>
        </is>
      </c>
      <c r="C139" s="17" t="inlineStr"/>
      <c r="D139" s="18" t="n">
        <v>1725</v>
      </c>
    </row>
    <row r="140" hidden="1" outlineLevel="1">
      <c r="A140" s="26" t="n">
        <v>46111</v>
      </c>
      <c r="B140" s="17" t="inlineStr">
        <is>
          <t>Iva percepcion rg 2408</t>
        </is>
      </c>
      <c r="C140" s="17" t="inlineStr"/>
      <c r="D140" s="18" t="n">
        <v>414.75</v>
      </c>
    </row>
    <row r="141">
      <c r="A141" s="27" t="n"/>
      <c r="B141" s="27" t="n"/>
      <c r="C141" s="20" t="inlineStr">
        <is>
          <t>TOTAL IVA PERCEPCION</t>
        </is>
      </c>
      <c r="D141" s="21">
        <f>SUM(D131:D140)</f>
        <v/>
      </c>
    </row>
    <row r="143">
      <c r="A143" s="29" t="inlineStr">
        <is>
          <t>LEY25413 CREDITO</t>
        </is>
      </c>
    </row>
    <row r="144">
      <c r="A144" s="25" t="inlineStr">
        <is>
          <t>Fecha</t>
        </is>
      </c>
      <c r="B144" s="25" t="inlineStr">
        <is>
          <t>Concepto Banco</t>
        </is>
      </c>
      <c r="C144" s="25" t="inlineStr">
        <is>
          <t>Referencia / Detalle</t>
        </is>
      </c>
      <c r="D144" s="25" t="inlineStr">
        <is>
          <t>Monto</t>
        </is>
      </c>
    </row>
    <row r="145" hidden="1" outlineLevel="1">
      <c r="A145" s="26" t="n">
        <v>46083</v>
      </c>
      <c r="B145" s="17" t="inlineStr">
        <is>
          <t>Impuesto ley 25.413 credito 0,6%</t>
        </is>
      </c>
      <c r="C145" s="17" t="inlineStr"/>
      <c r="D145" s="18" t="n">
        <v>16579.78</v>
      </c>
    </row>
    <row r="146" hidden="1" outlineLevel="1">
      <c r="A146" s="26" t="n">
        <v>46084</v>
      </c>
      <c r="B146" s="17" t="inlineStr">
        <is>
          <t>Impuesto ley 25.413 credito 0,6%</t>
        </is>
      </c>
      <c r="C146" s="17" t="inlineStr"/>
      <c r="D146" s="18" t="n">
        <v>103408.22</v>
      </c>
    </row>
    <row r="147" hidden="1" outlineLevel="1">
      <c r="A147" s="26" t="n">
        <v>46085</v>
      </c>
      <c r="B147" s="17" t="inlineStr">
        <is>
          <t>Impuesto ley 25.413 credito 0,6%</t>
        </is>
      </c>
      <c r="C147" s="17" t="inlineStr"/>
      <c r="D147" s="18" t="n">
        <v>1849.17</v>
      </c>
    </row>
    <row r="148" hidden="1" outlineLevel="1">
      <c r="A148" s="26" t="n">
        <v>46086</v>
      </c>
      <c r="B148" s="17" t="inlineStr">
        <is>
          <t>Impuesto ley 25.413 credito 0,6%</t>
        </is>
      </c>
      <c r="C148" s="17" t="inlineStr"/>
      <c r="D148" s="18" t="n">
        <v>31677.38</v>
      </c>
    </row>
    <row r="149" hidden="1" outlineLevel="1">
      <c r="A149" s="26" t="n">
        <v>46087</v>
      </c>
      <c r="B149" s="17" t="inlineStr">
        <is>
          <t>Impuesto ley 25.413 credito 0,6%</t>
        </is>
      </c>
      <c r="C149" s="17" t="inlineStr"/>
      <c r="D149" s="18" t="n">
        <v>41923.59</v>
      </c>
    </row>
    <row r="150" hidden="1" outlineLevel="1">
      <c r="A150" s="26" t="n">
        <v>46090</v>
      </c>
      <c r="B150" s="17" t="inlineStr">
        <is>
          <t>Impuesto ley 25.413 credito 0,6%</t>
        </is>
      </c>
      <c r="C150" s="17" t="inlineStr"/>
      <c r="D150" s="18" t="n">
        <v>27099.32</v>
      </c>
    </row>
    <row r="151" hidden="1" outlineLevel="1">
      <c r="A151" s="26" t="n">
        <v>46091</v>
      </c>
      <c r="B151" s="17" t="inlineStr">
        <is>
          <t>Impuesto ley 25.413 credito 0,6%</t>
        </is>
      </c>
      <c r="C151" s="17" t="inlineStr"/>
      <c r="D151" s="18" t="n">
        <v>627894.27</v>
      </c>
    </row>
    <row r="152" hidden="1" outlineLevel="1">
      <c r="A152" s="26" t="n">
        <v>46092</v>
      </c>
      <c r="B152" s="17" t="inlineStr">
        <is>
          <t>Impuesto ley 25.413 credito 0,6%</t>
        </is>
      </c>
      <c r="C152" s="17" t="inlineStr"/>
      <c r="D152" s="18" t="n">
        <v>28560.46</v>
      </c>
    </row>
    <row r="153" hidden="1" outlineLevel="1">
      <c r="A153" s="26" t="n">
        <v>46093</v>
      </c>
      <c r="B153" s="17" t="inlineStr">
        <is>
          <t>Impuesto ley 25.413 credito 0,6%</t>
        </is>
      </c>
      <c r="C153" s="17" t="inlineStr"/>
      <c r="D153" s="18" t="n">
        <v>133806.09</v>
      </c>
    </row>
    <row r="154" hidden="1" outlineLevel="1">
      <c r="A154" s="26" t="n">
        <v>46094</v>
      </c>
      <c r="B154" s="17" t="inlineStr">
        <is>
          <t>Impuesto ley 25.413 credito 0,6%</t>
        </is>
      </c>
      <c r="C154" s="17" t="inlineStr"/>
      <c r="D154" s="18" t="n">
        <v>24017.86</v>
      </c>
    </row>
    <row r="155" hidden="1" outlineLevel="1">
      <c r="A155" s="26" t="n">
        <v>46094</v>
      </c>
      <c r="B155" s="17" t="inlineStr">
        <is>
          <t>Impuesto ley 25.413 credito 0,6%</t>
        </is>
      </c>
      <c r="C155" s="17" t="inlineStr">
        <is>
          <t xml:space="preserve"> Cta orig: 195-032021/8 - base impo. usd 1.730,83</t>
        </is>
      </c>
      <c r="D155" s="18" t="n">
        <v>14532</v>
      </c>
    </row>
    <row r="156" hidden="1" outlineLevel="1">
      <c r="A156" s="26" t="n">
        <v>46097</v>
      </c>
      <c r="B156" s="17" t="inlineStr">
        <is>
          <t>Impuesto ley 25.413 credito 0,6%</t>
        </is>
      </c>
      <c r="C156" s="17" t="inlineStr"/>
      <c r="D156" s="18" t="n">
        <v>19329.58</v>
      </c>
    </row>
    <row r="157" hidden="1" outlineLevel="1">
      <c r="A157" s="26" t="n">
        <v>46097</v>
      </c>
      <c r="B157" s="17" t="inlineStr">
        <is>
          <t>Impuesto ley 25.413 credito 0,6%</t>
        </is>
      </c>
      <c r="C157" s="17" t="inlineStr">
        <is>
          <t xml:space="preserve"> Cta orig: 195-032021/8 - base impo. usd 1.021,73</t>
        </is>
      </c>
      <c r="D157" s="18" t="n">
        <v>8557.48</v>
      </c>
    </row>
    <row r="158" hidden="1" outlineLevel="1">
      <c r="A158" s="26" t="n">
        <v>46098</v>
      </c>
      <c r="B158" s="17" t="inlineStr">
        <is>
          <t>Impuesto ley 25.413 credito 0,6%</t>
        </is>
      </c>
      <c r="C158" s="17" t="inlineStr"/>
      <c r="D158" s="18" t="n">
        <v>8933.34</v>
      </c>
    </row>
    <row r="159" hidden="1" outlineLevel="1">
      <c r="A159" s="26" t="n">
        <v>46099</v>
      </c>
      <c r="B159" s="17" t="inlineStr">
        <is>
          <t>Impuesto ley 25.413 credito 0,6%</t>
        </is>
      </c>
      <c r="C159" s="17" t="inlineStr"/>
      <c r="D159" s="18" t="n">
        <v>53311.42</v>
      </c>
    </row>
    <row r="160" hidden="1" outlineLevel="1">
      <c r="A160" s="26" t="n">
        <v>46100</v>
      </c>
      <c r="B160" s="17" t="inlineStr">
        <is>
          <t>Impuesto ley 25.413 credito 0,6%</t>
        </is>
      </c>
      <c r="C160" s="17" t="inlineStr"/>
      <c r="D160" s="18" t="n">
        <v>29776.55</v>
      </c>
    </row>
    <row r="161" hidden="1" outlineLevel="1">
      <c r="A161" s="26" t="n">
        <v>46101</v>
      </c>
      <c r="B161" s="17" t="inlineStr">
        <is>
          <t>Impuesto ley 25.413 credito 0,6%</t>
        </is>
      </c>
      <c r="C161" s="17" t="inlineStr"/>
      <c r="D161" s="18" t="n">
        <v>40823.34</v>
      </c>
    </row>
    <row r="162" hidden="1" outlineLevel="1">
      <c r="A162" s="26" t="n">
        <v>46106</v>
      </c>
      <c r="B162" s="17" t="inlineStr">
        <is>
          <t>Impuesto ley 25.413 credito 0,6%</t>
        </is>
      </c>
      <c r="C162" s="17" t="inlineStr"/>
      <c r="D162" s="18" t="n">
        <v>16975.16</v>
      </c>
    </row>
    <row r="163" hidden="1" outlineLevel="1">
      <c r="A163" s="26" t="n">
        <v>46107</v>
      </c>
      <c r="B163" s="17" t="inlineStr">
        <is>
          <t>Impuesto ley 25.413 credito 0,6%</t>
        </is>
      </c>
      <c r="C163" s="17" t="inlineStr"/>
      <c r="D163" s="18" t="n">
        <v>107472.44</v>
      </c>
    </row>
    <row r="164" hidden="1" outlineLevel="1">
      <c r="A164" s="26" t="n">
        <v>46107</v>
      </c>
      <c r="B164" s="17" t="inlineStr">
        <is>
          <t>Impuesto ley 25.413 credito 0,6%</t>
        </is>
      </c>
      <c r="C164" s="17" t="inlineStr">
        <is>
          <t xml:space="preserve"> Cta orig: 195-032021/8 - base impo. usd362,44</t>
        </is>
      </c>
      <c r="D164" s="18" t="n">
        <v>2968.56</v>
      </c>
    </row>
    <row r="165" hidden="1" outlineLevel="1">
      <c r="A165" s="26" t="n">
        <v>46108</v>
      </c>
      <c r="B165" s="17" t="inlineStr">
        <is>
          <t>Impuesto ley 25.413 credito 0,6%</t>
        </is>
      </c>
      <c r="C165" s="17" t="inlineStr"/>
      <c r="D165" s="18" t="n">
        <v>24345.32</v>
      </c>
    </row>
    <row r="166" hidden="1" outlineLevel="1">
      <c r="A166" s="26" t="n">
        <v>46111</v>
      </c>
      <c r="B166" s="17" t="inlineStr">
        <is>
          <t>Impuesto ley 25.413 credito 0,6%</t>
        </is>
      </c>
      <c r="C166" s="17" t="inlineStr"/>
      <c r="D166" s="18" t="n">
        <v>19988.44</v>
      </c>
    </row>
    <row r="167" hidden="1" outlineLevel="1">
      <c r="A167" s="26" t="n">
        <v>46112</v>
      </c>
      <c r="B167" s="17" t="inlineStr">
        <is>
          <t>Impuesto ley 25.413 credito 0,6%</t>
        </is>
      </c>
      <c r="C167" s="17" t="inlineStr"/>
      <c r="D167" s="18" t="n">
        <v>36207.79</v>
      </c>
    </row>
    <row r="168">
      <c r="A168" s="27" t="n"/>
      <c r="B168" s="27" t="n"/>
      <c r="C168" s="20" t="inlineStr">
        <is>
          <t>TOTAL LEY25413 CREDITO</t>
        </is>
      </c>
      <c r="D168" s="21">
        <f>SUM(D145:D167)</f>
        <v/>
      </c>
    </row>
    <row r="170">
      <c r="A170" s="29" t="inlineStr">
        <is>
          <t>LEY25413 DEBITO</t>
        </is>
      </c>
    </row>
    <row r="171">
      <c r="A171" s="25" t="inlineStr">
        <is>
          <t>Fecha</t>
        </is>
      </c>
      <c r="B171" s="25" t="inlineStr">
        <is>
          <t>Concepto Banco</t>
        </is>
      </c>
      <c r="C171" s="25" t="inlineStr">
        <is>
          <t>Referencia / Detalle</t>
        </is>
      </c>
      <c r="D171" s="25" t="inlineStr">
        <is>
          <t>Monto</t>
        </is>
      </c>
    </row>
    <row r="172" hidden="1" outlineLevel="1">
      <c r="A172" s="26" t="n">
        <v>46083</v>
      </c>
      <c r="B172" s="17" t="inlineStr">
        <is>
          <t>Impuesto ley 25.413 debito 0,6%</t>
        </is>
      </c>
      <c r="C172" s="17" t="inlineStr">
        <is>
          <t xml:space="preserve"> * Salvo error u omisión 2 - 33</t>
        </is>
      </c>
      <c r="D172" s="18" t="n">
        <v>9772.75</v>
      </c>
    </row>
    <row r="173" hidden="1" outlineLevel="1">
      <c r="A173" s="26" t="n">
        <v>46084</v>
      </c>
      <c r="B173" s="17" t="inlineStr">
        <is>
          <t>Impuesto ley 25.413 debito 0,6%</t>
        </is>
      </c>
      <c r="C173" s="17" t="inlineStr"/>
      <c r="D173" s="18" t="n">
        <v>65921.07000000001</v>
      </c>
    </row>
    <row r="174" hidden="1" outlineLevel="1">
      <c r="A174" s="26" t="n">
        <v>46085</v>
      </c>
      <c r="B174" s="17" t="inlineStr">
        <is>
          <t>Impuesto ley 25.413 debito 0,6%</t>
        </is>
      </c>
      <c r="C174" s="17" t="inlineStr"/>
      <c r="D174" s="18" t="n">
        <v>1368.86</v>
      </c>
    </row>
    <row r="175" hidden="1" outlineLevel="1">
      <c r="A175" s="26" t="n">
        <v>46086</v>
      </c>
      <c r="B175" s="17" t="inlineStr">
        <is>
          <t>Impuesto ley 25.413 debito 0,6%</t>
        </is>
      </c>
      <c r="C175" s="17" t="inlineStr"/>
      <c r="D175" s="18" t="n">
        <v>46159.26</v>
      </c>
    </row>
    <row r="176" hidden="1" outlineLevel="1">
      <c r="A176" s="26" t="n">
        <v>46087</v>
      </c>
      <c r="B176" s="17" t="inlineStr">
        <is>
          <t>Impuesto ley 25.413 debito 0,6%</t>
        </is>
      </c>
      <c r="C176" s="17" t="inlineStr"/>
      <c r="D176" s="18" t="n">
        <v>452.23</v>
      </c>
    </row>
    <row r="177" hidden="1" outlineLevel="1">
      <c r="A177" s="26" t="n">
        <v>46090</v>
      </c>
      <c r="B177" s="17" t="inlineStr">
        <is>
          <t>Impuesto ley 25.413 debito 0,6%</t>
        </is>
      </c>
      <c r="C177" s="17" t="inlineStr"/>
      <c r="D177" s="18" t="n">
        <v>160424.19</v>
      </c>
    </row>
    <row r="178" hidden="1" outlineLevel="1">
      <c r="A178" s="26" t="n">
        <v>46091</v>
      </c>
      <c r="B178" s="17" t="inlineStr">
        <is>
          <t>Impuesto ley 25.413 debito 0,6%</t>
        </is>
      </c>
      <c r="C178" s="17" t="inlineStr"/>
      <c r="D178" s="18" t="n">
        <v>56086.96</v>
      </c>
    </row>
    <row r="179" hidden="1" outlineLevel="1">
      <c r="A179" s="26" t="n">
        <v>46092</v>
      </c>
      <c r="B179" s="17" t="inlineStr">
        <is>
          <t>Impuesto ley 25.413 debito 0,6%</t>
        </is>
      </c>
      <c r="C179" s="17" t="inlineStr"/>
      <c r="D179" s="18" t="n">
        <v>8933.799999999999</v>
      </c>
    </row>
    <row r="180" hidden="1" outlineLevel="1">
      <c r="A180" s="26" t="n">
        <v>46093</v>
      </c>
      <c r="B180" s="17" t="inlineStr">
        <is>
          <t>Impuesto ley 25.413 debito 0,6%</t>
        </is>
      </c>
      <c r="C180" s="17" t="inlineStr"/>
      <c r="D180" s="18" t="n">
        <v>28682.12</v>
      </c>
    </row>
    <row r="181" hidden="1" outlineLevel="1">
      <c r="A181" s="26" t="n">
        <v>46094</v>
      </c>
      <c r="B181" s="17" t="inlineStr">
        <is>
          <t>Impuesto ley 25.413 debito 0,6%</t>
        </is>
      </c>
      <c r="C181" s="17" t="inlineStr"/>
      <c r="D181" s="18" t="n">
        <v>30080.46</v>
      </c>
    </row>
    <row r="182" hidden="1" outlineLevel="1">
      <c r="A182" s="26" t="n">
        <v>46097</v>
      </c>
      <c r="B182" s="17" t="inlineStr">
        <is>
          <t>Impuesto ley 25.413 debito 0,6%</t>
        </is>
      </c>
      <c r="C182" s="17" t="inlineStr"/>
      <c r="D182" s="18" t="n">
        <v>15331.92</v>
      </c>
    </row>
    <row r="183" hidden="1" outlineLevel="1">
      <c r="A183" s="26" t="n">
        <v>46097</v>
      </c>
      <c r="B183" s="17" t="inlineStr">
        <is>
          <t>Impuesto ley 25.413 debito 0,6%</t>
        </is>
      </c>
      <c r="C183" s="17" t="inlineStr">
        <is>
          <t xml:space="preserve"> Cta orig: 195-032021/8 - base impo. usd3,31</t>
        </is>
      </c>
      <c r="D183" s="18" t="n">
        <v>27.96</v>
      </c>
    </row>
    <row r="184" hidden="1" outlineLevel="1">
      <c r="A184" s="26" t="n">
        <v>46098</v>
      </c>
      <c r="B184" s="17" t="inlineStr">
        <is>
          <t>Impuesto ley 25.413 debito 0,6%</t>
        </is>
      </c>
      <c r="C184" s="17" t="inlineStr"/>
      <c r="D184" s="18" t="n">
        <v>3828.63</v>
      </c>
    </row>
    <row r="185" hidden="1" outlineLevel="1">
      <c r="A185" s="26" t="n">
        <v>46099</v>
      </c>
      <c r="B185" s="17" t="inlineStr">
        <is>
          <t>Impuesto ley 25.413 debito 0,6%</t>
        </is>
      </c>
      <c r="C185" s="17" t="inlineStr"/>
      <c r="D185" s="18" t="n">
        <v>12810.85</v>
      </c>
    </row>
    <row r="186" hidden="1" outlineLevel="1">
      <c r="A186" s="26" t="n">
        <v>46100</v>
      </c>
      <c r="B186" s="17" t="inlineStr">
        <is>
          <t>Impuesto ley 25.413 debito 0,6%</t>
        </is>
      </c>
      <c r="C186" s="17" t="inlineStr"/>
      <c r="D186" s="18" t="n">
        <v>28363.04</v>
      </c>
    </row>
    <row r="187" hidden="1" outlineLevel="1">
      <c r="A187" s="26" t="n">
        <v>46101</v>
      </c>
      <c r="B187" s="17" t="inlineStr">
        <is>
          <t>Impuesto ley 25.413 debito 0,6%</t>
        </is>
      </c>
      <c r="C187" s="17" t="inlineStr"/>
      <c r="D187" s="18" t="n">
        <v>8778.290000000001</v>
      </c>
    </row>
    <row r="188" hidden="1" outlineLevel="1">
      <c r="A188" s="26" t="n">
        <v>46106</v>
      </c>
      <c r="B188" s="17" t="inlineStr">
        <is>
          <t>Impuesto ley 25.413 debito 0,6%</t>
        </is>
      </c>
      <c r="C188" s="17" t="inlineStr"/>
      <c r="D188" s="18" t="n">
        <v>58802.42</v>
      </c>
    </row>
    <row r="189" hidden="1" outlineLevel="1">
      <c r="A189" s="26" t="n">
        <v>46107</v>
      </c>
      <c r="B189" s="17" t="inlineStr">
        <is>
          <t>Impuesto ley 25.413 debito 0,6%</t>
        </is>
      </c>
      <c r="C189" s="17" t="inlineStr"/>
      <c r="D189" s="18" t="n">
        <v>483.9</v>
      </c>
    </row>
    <row r="190" hidden="1" outlineLevel="1">
      <c r="A190" s="26" t="n">
        <v>46108</v>
      </c>
      <c r="B190" s="17" t="inlineStr">
        <is>
          <t>Impuesto ley 25.413 debito 0,6%</t>
        </is>
      </c>
      <c r="C190" s="17" t="inlineStr"/>
      <c r="D190" s="18" t="n">
        <v>1412.68</v>
      </c>
    </row>
    <row r="191" hidden="1" outlineLevel="1">
      <c r="A191" s="26" t="n">
        <v>46111</v>
      </c>
      <c r="B191" s="17" t="inlineStr">
        <is>
          <t>Impuesto ley 25.413 debito 0,6%</t>
        </is>
      </c>
      <c r="C191" s="17" t="inlineStr"/>
      <c r="D191" s="18" t="n">
        <v>69083.61</v>
      </c>
    </row>
    <row r="192" hidden="1" outlineLevel="1">
      <c r="A192" s="26" t="n">
        <v>46112</v>
      </c>
      <c r="B192" s="17" t="inlineStr">
        <is>
          <t>Impuesto ley 25.413 debito 0,6%</t>
        </is>
      </c>
      <c r="C192" s="17" t="inlineStr"/>
      <c r="D192" s="18" t="n">
        <v>378768.82</v>
      </c>
    </row>
    <row r="193">
      <c r="A193" s="27" t="n"/>
      <c r="B193" s="27" t="n"/>
      <c r="C193" s="20" t="inlineStr">
        <is>
          <t>TOTAL LEY25413 DEBITO</t>
        </is>
      </c>
      <c r="D193" s="21">
        <f>SUM(D172:D192)</f>
        <v/>
      </c>
    </row>
    <row r="195">
      <c r="A195" s="29" t="inlineStr">
        <is>
          <t>PERC IIBB</t>
        </is>
      </c>
    </row>
    <row r="196">
      <c r="A196" s="25" t="inlineStr">
        <is>
          <t>Fecha</t>
        </is>
      </c>
      <c r="B196" s="25" t="inlineStr">
        <is>
          <t>Concepto Banco</t>
        </is>
      </c>
      <c r="C196" s="25" t="inlineStr">
        <is>
          <t>Referencia / Detalle</t>
        </is>
      </c>
      <c r="D196" s="25" t="inlineStr">
        <is>
          <t>Monto</t>
        </is>
      </c>
    </row>
    <row r="197" hidden="1" outlineLevel="1">
      <c r="A197" s="26" t="n">
        <v>46084</v>
      </c>
      <c r="B197" s="17" t="inlineStr">
        <is>
          <t>Percepcion ingresos brutos caba</t>
        </is>
      </c>
      <c r="C197" s="17" t="inlineStr"/>
      <c r="D197" s="18" t="n">
        <v>923.16</v>
      </c>
    </row>
    <row r="198" hidden="1" outlineLevel="1">
      <c r="A198" s="26" t="n">
        <v>46090</v>
      </c>
      <c r="B198" s="17" t="inlineStr">
        <is>
          <t>Percepcion ingresos brutos caba</t>
        </is>
      </c>
      <c r="C198" s="17" t="inlineStr"/>
      <c r="D198" s="18" t="n">
        <v>219.05</v>
      </c>
    </row>
    <row r="199" hidden="1" outlineLevel="1">
      <c r="A199" s="26" t="n">
        <v>46091</v>
      </c>
      <c r="B199" s="17" t="inlineStr">
        <is>
          <t>Percepcion ingresos brutos caba</t>
        </is>
      </c>
      <c r="C199" s="17" t="inlineStr"/>
      <c r="D199" s="18" t="n">
        <v>413</v>
      </c>
    </row>
    <row r="200" hidden="1" outlineLevel="1">
      <c r="A200" s="26" t="n">
        <v>46093</v>
      </c>
      <c r="B200" s="17" t="inlineStr">
        <is>
          <t>Percepcion ingresos brutos caba</t>
        </is>
      </c>
      <c r="C200" s="17" t="inlineStr"/>
      <c r="D200" s="18" t="n">
        <v>695.21</v>
      </c>
    </row>
    <row r="201" hidden="1" outlineLevel="1">
      <c r="A201" s="26" t="n">
        <v>46099</v>
      </c>
      <c r="B201" s="17" t="inlineStr">
        <is>
          <t>Percepcion ingresos brutos caba</t>
        </is>
      </c>
      <c r="C201" s="17" t="inlineStr"/>
      <c r="D201" s="18" t="n">
        <v>2073.65</v>
      </c>
    </row>
    <row r="202" hidden="1" outlineLevel="1">
      <c r="A202" s="26" t="n">
        <v>46107</v>
      </c>
      <c r="B202" s="17" t="inlineStr">
        <is>
          <t>Percepcion ingresos brutos caba</t>
        </is>
      </c>
      <c r="C202" s="17" t="inlineStr"/>
      <c r="D202" s="18" t="n">
        <v>1200.67</v>
      </c>
    </row>
    <row r="203" hidden="1" outlineLevel="1">
      <c r="A203" s="26" t="n">
        <v>46111</v>
      </c>
      <c r="B203" s="17" t="inlineStr">
        <is>
          <t>Percepcion ingresos brutos caba</t>
        </is>
      </c>
      <c r="C203" s="17" t="inlineStr"/>
      <c r="D203" s="18" t="n">
        <v>2875</v>
      </c>
    </row>
    <row r="204" hidden="1" outlineLevel="1">
      <c r="A204" s="26" t="n">
        <v>46111</v>
      </c>
      <c r="B204" s="17" t="inlineStr">
        <is>
          <t>Percepcion ingresos brutos caba</t>
        </is>
      </c>
      <c r="C204" s="17" t="inlineStr"/>
      <c r="D204" s="18" t="n">
        <v>691.25</v>
      </c>
    </row>
    <row r="205">
      <c r="A205" s="27" t="n"/>
      <c r="B205" s="27" t="n"/>
      <c r="C205" s="20" t="inlineStr">
        <is>
          <t>TOTAL PERC IIBB</t>
        </is>
      </c>
      <c r="D205" s="21">
        <f>SUM(D197:D204)</f>
        <v/>
      </c>
    </row>
    <row r="207">
      <c r="A207" s="29" t="inlineStr">
        <is>
          <t>RET IIBB TUCUMAN</t>
        </is>
      </c>
    </row>
    <row r="208">
      <c r="A208" s="25" t="inlineStr">
        <is>
          <t>Fecha</t>
        </is>
      </c>
      <c r="B208" s="25" t="inlineStr">
        <is>
          <t>Concepto Banco</t>
        </is>
      </c>
      <c r="C208" s="25" t="inlineStr">
        <is>
          <t>Referencia / Detalle</t>
        </is>
      </c>
      <c r="D208" s="25" t="inlineStr">
        <is>
          <t>Monto</t>
        </is>
      </c>
    </row>
    <row r="209" hidden="1" outlineLevel="1">
      <c r="A209" s="26" t="n">
        <v>46080</v>
      </c>
      <c r="B209" s="17" t="inlineStr">
        <is>
          <t>Adelanto iibb tuc letra h</t>
        </is>
      </c>
      <c r="C209" s="17" t="inlineStr">
        <is>
          <t xml:space="preserve"> Resp:30626629942 / 0,12% sobre</t>
        </is>
      </c>
      <c r="D209" s="18" t="n">
        <v>3270.15</v>
      </c>
    </row>
    <row r="210" hidden="1" outlineLevel="1">
      <c r="A210" s="26" t="n">
        <v>46083</v>
      </c>
      <c r="B210" s="17" t="inlineStr">
        <is>
          <t>Adelanto iibb tuc letra h</t>
        </is>
      </c>
      <c r="C210" s="17" t="inlineStr">
        <is>
          <t xml:space="preserve"> Resp:30626629942 / 0,12% sobre</t>
        </is>
      </c>
      <c r="D210" s="18" t="n">
        <v>3029.96</v>
      </c>
    </row>
    <row r="211" hidden="1" outlineLevel="1">
      <c r="A211" s="26" t="n">
        <v>46084</v>
      </c>
      <c r="B211" s="17" t="inlineStr">
        <is>
          <t>Adelanto iibb tuc letra h</t>
        </is>
      </c>
      <c r="C211" s="17" t="inlineStr">
        <is>
          <t xml:space="preserve"> Resp:30626629942 / 0,12% sobre</t>
        </is>
      </c>
      <c r="D211" s="18" t="n">
        <v>19530.04</v>
      </c>
    </row>
    <row r="212" hidden="1" outlineLevel="1">
      <c r="A212" s="26" t="n">
        <v>46085</v>
      </c>
      <c r="B212" s="17" t="inlineStr">
        <is>
          <t>Adelanto iibb tuc letra h</t>
        </is>
      </c>
      <c r="C212" s="17" t="inlineStr">
        <is>
          <t xml:space="preserve"> Resp:30626629942 / 0,12% sobre</t>
        </is>
      </c>
      <c r="D212" s="18" t="n">
        <v>78.44</v>
      </c>
    </row>
    <row r="213" hidden="1" outlineLevel="1">
      <c r="A213" s="26" t="n">
        <v>46086</v>
      </c>
      <c r="B213" s="17" t="inlineStr">
        <is>
          <t>Adelanto iibb tuc letra h</t>
        </is>
      </c>
      <c r="C213" s="17" t="inlineStr">
        <is>
          <t xml:space="preserve"> Resp:30626629942 / 0,12% sobre</t>
        </is>
      </c>
      <c r="D213" s="18" t="n">
        <v>3668.82</v>
      </c>
    </row>
    <row r="214" hidden="1" outlineLevel="1">
      <c r="A214" s="26" t="n">
        <v>46087</v>
      </c>
      <c r="B214" s="17" t="inlineStr">
        <is>
          <t>Adelanto iibb tuc letra h</t>
        </is>
      </c>
      <c r="C214" s="17" t="inlineStr">
        <is>
          <t xml:space="preserve"> Resp:30626629942 / 0,12% sobre</t>
        </is>
      </c>
      <c r="D214" s="18" t="n">
        <v>8158.1</v>
      </c>
    </row>
    <row r="215" hidden="1" outlineLevel="1">
      <c r="A215" s="26" t="n">
        <v>46090</v>
      </c>
      <c r="B215" s="17" t="inlineStr">
        <is>
          <t>Adelanto iibb tuc letra h</t>
        </is>
      </c>
      <c r="C215" s="17" t="inlineStr">
        <is>
          <t xml:space="preserve"> Resp:30626629942 / 0,12% sobre</t>
        </is>
      </c>
      <c r="D215" s="18" t="n">
        <v>4093.28</v>
      </c>
    </row>
    <row r="216" hidden="1" outlineLevel="1">
      <c r="A216" s="26" t="n">
        <v>46091</v>
      </c>
      <c r="B216" s="17" t="inlineStr">
        <is>
          <t>Adelanto iibb tuc letra h</t>
        </is>
      </c>
      <c r="C216" s="17" t="inlineStr">
        <is>
          <t xml:space="preserve"> Resp:30626629942 / 0,12% sobre</t>
        </is>
      </c>
      <c r="D216" s="18" t="n">
        <v>122859.01</v>
      </c>
    </row>
    <row r="217" hidden="1" outlineLevel="1">
      <c r="A217" s="26" t="n">
        <v>46092</v>
      </c>
      <c r="B217" s="17" t="inlineStr">
        <is>
          <t>Adelanto iibb tuc letra h</t>
        </is>
      </c>
      <c r="C217" s="17" t="inlineStr">
        <is>
          <t xml:space="preserve"> Resp:30626629942 / 0,12% sobre</t>
        </is>
      </c>
      <c r="D217" s="18" t="n">
        <v>5183.9</v>
      </c>
    </row>
    <row r="218" hidden="1" outlineLevel="1">
      <c r="A218" s="26" t="n">
        <v>46093</v>
      </c>
      <c r="B218" s="17" t="inlineStr">
        <is>
          <t>Adelanto iibb tuc letra h</t>
        </is>
      </c>
      <c r="C218" s="17" t="inlineStr">
        <is>
          <t xml:space="preserve"> Resp:30626629942 / 0,12% sobre</t>
        </is>
      </c>
      <c r="D218" s="18" t="n">
        <v>22690.3</v>
      </c>
    </row>
    <row r="219" hidden="1" outlineLevel="1">
      <c r="A219" s="26" t="n">
        <v>46094</v>
      </c>
      <c r="B219" s="17" t="inlineStr">
        <is>
          <t>Adelanto iibb tuc letra h</t>
        </is>
      </c>
      <c r="C219" s="17" t="inlineStr">
        <is>
          <t xml:space="preserve"> Resp:30626629942 / 0,12% sobre</t>
        </is>
      </c>
      <c r="D219" s="18" t="n">
        <v>4609.73</v>
      </c>
    </row>
    <row r="220" hidden="1" outlineLevel="1">
      <c r="A220" s="26" t="n">
        <v>46097</v>
      </c>
      <c r="B220" s="17" t="inlineStr">
        <is>
          <t>Adelanto iibb tuc letra h</t>
        </is>
      </c>
      <c r="C220" s="17" t="inlineStr">
        <is>
          <t xml:space="preserve"> Resp:30626629942 / 0,12% sobre</t>
        </is>
      </c>
      <c r="D220" s="18" t="n">
        <v>2755.01</v>
      </c>
    </row>
    <row r="221" hidden="1" outlineLevel="1">
      <c r="A221" s="26" t="n">
        <v>46098</v>
      </c>
      <c r="B221" s="17" t="inlineStr">
        <is>
          <t>Adelanto iibb tuc letra h</t>
        </is>
      </c>
      <c r="C221" s="17" t="inlineStr">
        <is>
          <t xml:space="preserve"> Resp:30626629942 / 0,12% sobre</t>
        </is>
      </c>
      <c r="D221" s="18" t="n">
        <v>1740.88</v>
      </c>
    </row>
    <row r="222" hidden="1" outlineLevel="1">
      <c r="A222" s="26" t="n">
        <v>46099</v>
      </c>
      <c r="B222" s="17" t="inlineStr">
        <is>
          <t>Adelanto iibb tuc letra h</t>
        </is>
      </c>
      <c r="C222" s="17" t="inlineStr">
        <is>
          <t xml:space="preserve"> Resp:30626629942 / 0,12% sobre</t>
        </is>
      </c>
      <c r="D222" s="18" t="n">
        <v>9823.639999999999</v>
      </c>
    </row>
    <row r="223" hidden="1" outlineLevel="1">
      <c r="A223" s="26" t="n">
        <v>46100</v>
      </c>
      <c r="B223" s="17" t="inlineStr">
        <is>
          <t>Adelanto iibb tuc letra h</t>
        </is>
      </c>
      <c r="C223" s="17" t="inlineStr">
        <is>
          <t xml:space="preserve"> Resp:30626629942 / 0,12% sobre</t>
        </is>
      </c>
      <c r="D223" s="18" t="n">
        <v>5754.7</v>
      </c>
    </row>
    <row r="224" hidden="1" outlineLevel="1">
      <c r="A224" s="26" t="n">
        <v>46101</v>
      </c>
      <c r="B224" s="17" t="inlineStr">
        <is>
          <t>Adelanto iibb tuc letra h</t>
        </is>
      </c>
      <c r="C224" s="17" t="inlineStr">
        <is>
          <t xml:space="preserve"> Resp:30626629942 / 0,12% sobre</t>
        </is>
      </c>
      <c r="D224" s="18" t="n">
        <v>7938.68</v>
      </c>
    </row>
    <row r="225" hidden="1" outlineLevel="1">
      <c r="A225" s="26" t="n">
        <v>46106</v>
      </c>
      <c r="B225" s="17" t="inlineStr">
        <is>
          <t>Adelanto iibb tuc letra h</t>
        </is>
      </c>
      <c r="C225" s="17" t="inlineStr">
        <is>
          <t xml:space="preserve"> Resp:30626629942 / 0,12% sobre</t>
        </is>
      </c>
      <c r="D225" s="18" t="n">
        <v>3199.17</v>
      </c>
    </row>
    <row r="226" hidden="1" outlineLevel="1">
      <c r="A226" s="26" t="n">
        <v>46107</v>
      </c>
      <c r="B226" s="17" t="inlineStr">
        <is>
          <t>Adelanto iibb tuc letra h</t>
        </is>
      </c>
      <c r="C226" s="17" t="inlineStr">
        <is>
          <t xml:space="preserve"> Resp:30626629942 / 0,12% sobre</t>
        </is>
      </c>
      <c r="D226" s="18" t="n">
        <v>20501.19</v>
      </c>
    </row>
    <row r="227" hidden="1" outlineLevel="1">
      <c r="A227" s="26" t="n">
        <v>46108</v>
      </c>
      <c r="B227" s="17" t="inlineStr">
        <is>
          <t>Adelanto iibb tuc letra h</t>
        </is>
      </c>
      <c r="C227" s="17" t="inlineStr">
        <is>
          <t xml:space="preserve"> Resp:30626629942 / 0,12% sobre</t>
        </is>
      </c>
      <c r="D227" s="18" t="n">
        <v>3368.53</v>
      </c>
    </row>
    <row r="228" hidden="1" outlineLevel="1">
      <c r="A228" s="26" t="n">
        <v>46111</v>
      </c>
      <c r="B228" s="17" t="inlineStr">
        <is>
          <t>Adelanto iibb tuc letra h</t>
        </is>
      </c>
      <c r="C228" s="17" t="inlineStr">
        <is>
          <t xml:space="preserve"> Resp:30626629942 / 0,12% sobre</t>
        </is>
      </c>
      <c r="D228" s="18" t="n">
        <v>1958.8</v>
      </c>
    </row>
    <row r="229">
      <c r="A229" s="27" t="n"/>
      <c r="B229" s="27" t="n"/>
      <c r="C229" s="20" t="inlineStr">
        <is>
          <t>TOTAL RET IIBB TUCUMAN</t>
        </is>
      </c>
      <c r="D229" s="21">
        <f>SUM(D209:D228)</f>
        <v/>
      </c>
    </row>
    <row r="231">
      <c r="A231" s="29" t="inlineStr">
        <is>
          <t>RET SIRCREB</t>
        </is>
      </c>
    </row>
    <row r="232">
      <c r="A232" s="25" t="inlineStr">
        <is>
          <t>Fecha</t>
        </is>
      </c>
      <c r="B232" s="25" t="inlineStr">
        <is>
          <t>Concepto Banco</t>
        </is>
      </c>
      <c r="C232" s="25" t="inlineStr">
        <is>
          <t>Referencia / Detalle</t>
        </is>
      </c>
      <c r="D232" s="25" t="inlineStr">
        <is>
          <t>Monto</t>
        </is>
      </c>
    </row>
    <row r="233" hidden="1" outlineLevel="1">
      <c r="A233" s="26" t="n">
        <v>46080</v>
      </c>
      <c r="B233" s="17" t="inlineStr">
        <is>
          <t>Regimen de recaudacion sircreb r</t>
        </is>
      </c>
      <c r="C233" s="17" t="inlineStr">
        <is>
          <t xml:space="preserve"> Resp:30626629942 / 1,60% sobre</t>
        </is>
      </c>
      <c r="D233" s="18" t="n">
        <v>47495.65</v>
      </c>
    </row>
    <row r="234" hidden="1" outlineLevel="1">
      <c r="A234" s="26" t="n">
        <v>46083</v>
      </c>
      <c r="B234" s="17" t="inlineStr">
        <is>
          <t>Regimen de recaudacion sircreb n</t>
        </is>
      </c>
      <c r="C234" s="17" t="inlineStr">
        <is>
          <t xml:space="preserve"> Resp:30626629942 / 1,20% sobre</t>
        </is>
      </c>
      <c r="D234" s="18" t="n">
        <v>33159.54</v>
      </c>
    </row>
    <row r="235" hidden="1" outlineLevel="1">
      <c r="A235" s="26" t="n">
        <v>46084</v>
      </c>
      <c r="B235" s="17" t="inlineStr">
        <is>
          <t>Regimen de recaudacion sircreb n</t>
        </is>
      </c>
      <c r="C235" s="17" t="inlineStr">
        <is>
          <t xml:space="preserve"> Resp:30626629942 / 1,20% sobre</t>
        </is>
      </c>
      <c r="D235" s="18" t="n">
        <v>206816.45</v>
      </c>
    </row>
    <row r="236" hidden="1" outlineLevel="1">
      <c r="A236" s="26" t="n">
        <v>46085</v>
      </c>
      <c r="B236" s="17" t="inlineStr">
        <is>
          <t>Regimen de recaudacion sircreb n</t>
        </is>
      </c>
      <c r="C236" s="17" t="inlineStr">
        <is>
          <t xml:space="preserve"> Resp:30626629942 / 1,20% sobre</t>
        </is>
      </c>
      <c r="D236" s="18" t="n">
        <v>3698.36</v>
      </c>
    </row>
    <row r="237" hidden="1" outlineLevel="1">
      <c r="A237" s="26" t="n">
        <v>46086</v>
      </c>
      <c r="B237" s="17" t="inlineStr">
        <is>
          <t>Regimen de recaudacion sircreb n</t>
        </is>
      </c>
      <c r="C237" s="17" t="inlineStr">
        <is>
          <t xml:space="preserve"> Resp:30626629942 / 1,20% sobre</t>
        </is>
      </c>
      <c r="D237" s="18" t="n">
        <v>63354.76</v>
      </c>
    </row>
    <row r="238" hidden="1" outlineLevel="1">
      <c r="A238" s="26" t="n">
        <v>46087</v>
      </c>
      <c r="B238" s="17" t="inlineStr">
        <is>
          <t>Regimen de recaudacion sircreb n</t>
        </is>
      </c>
      <c r="C238" s="17" t="inlineStr">
        <is>
          <t xml:space="preserve"> Resp:30626629942 / 1,20% sobre</t>
        </is>
      </c>
      <c r="D238" s="18" t="n">
        <v>83847.2</v>
      </c>
    </row>
    <row r="239" hidden="1" outlineLevel="1">
      <c r="A239" s="26" t="n">
        <v>46090</v>
      </c>
      <c r="B239" s="17" t="inlineStr">
        <is>
          <t>Regimen de recaudacion sircreb n</t>
        </is>
      </c>
      <c r="C239" s="17" t="inlineStr">
        <is>
          <t xml:space="preserve"> Resp:30626629942 / 1,20% sobre</t>
        </is>
      </c>
      <c r="D239" s="18" t="n">
        <v>54198.61</v>
      </c>
    </row>
    <row r="240" hidden="1" outlineLevel="1">
      <c r="A240" s="26" t="n">
        <v>46091</v>
      </c>
      <c r="B240" s="17" t="inlineStr">
        <is>
          <t>Regimen de recaudacion sircreb n</t>
        </is>
      </c>
      <c r="C240" s="17" t="inlineStr">
        <is>
          <t xml:space="preserve"> Resp:30626629942 / 1,20% sobre</t>
        </is>
      </c>
      <c r="D240" s="18" t="n">
        <v>1255788.55</v>
      </c>
    </row>
    <row r="241" hidden="1" outlineLevel="1">
      <c r="A241" s="26" t="n">
        <v>46092</v>
      </c>
      <c r="B241" s="17" t="inlineStr">
        <is>
          <t>Regimen de recaudacion sircreb n</t>
        </is>
      </c>
      <c r="C241" s="17" t="inlineStr">
        <is>
          <t xml:space="preserve"> Resp:30626629942 / 1,20% sobre</t>
        </is>
      </c>
      <c r="D241" s="18" t="n">
        <v>57120.93</v>
      </c>
    </row>
    <row r="242" hidden="1" outlineLevel="1">
      <c r="A242" s="26" t="n">
        <v>46093</v>
      </c>
      <c r="B242" s="17" t="inlineStr">
        <is>
          <t>Regimen de recaudacion sircreb n</t>
        </is>
      </c>
      <c r="C242" s="17" t="inlineStr">
        <is>
          <t xml:space="preserve"> Resp:30626629942 / 1,20% sobre</t>
        </is>
      </c>
      <c r="D242" s="18" t="n">
        <v>267612.18</v>
      </c>
    </row>
    <row r="243" hidden="1" outlineLevel="1">
      <c r="A243" s="26" t="n">
        <v>46094</v>
      </c>
      <c r="B243" s="17" t="inlineStr">
        <is>
          <t>Regimen de recaudacion sircreb n</t>
        </is>
      </c>
      <c r="C243" s="17" t="inlineStr">
        <is>
          <t xml:space="preserve"> Resp:30626629942 / 1,20% sobre</t>
        </is>
      </c>
      <c r="D243" s="18" t="n">
        <v>48035.71</v>
      </c>
    </row>
    <row r="244" hidden="1" outlineLevel="1">
      <c r="A244" s="26" t="n">
        <v>46097</v>
      </c>
      <c r="B244" s="17" t="inlineStr">
        <is>
          <t>Regimen de recaudacion sircreb n</t>
        </is>
      </c>
      <c r="C244" s="17" t="inlineStr">
        <is>
          <t xml:space="preserve"> Resp:30626629942 / 1,20% sobre</t>
        </is>
      </c>
      <c r="D244" s="18" t="n">
        <v>38659.15</v>
      </c>
    </row>
    <row r="245" hidden="1" outlineLevel="1">
      <c r="A245" s="26" t="n">
        <v>46098</v>
      </c>
      <c r="B245" s="17" t="inlineStr">
        <is>
          <t>Regimen de recaudacion sircreb n</t>
        </is>
      </c>
      <c r="C245" s="17" t="inlineStr">
        <is>
          <t xml:space="preserve"> Resp:30626629942 / 1,20% sobre</t>
        </is>
      </c>
      <c r="D245" s="18" t="n">
        <v>17866.68</v>
      </c>
    </row>
    <row r="246" hidden="1" outlineLevel="1">
      <c r="A246" s="26" t="n">
        <v>46099</v>
      </c>
      <c r="B246" s="17" t="inlineStr">
        <is>
          <t>Regimen de recaudacion sircreb n</t>
        </is>
      </c>
      <c r="C246" s="17" t="inlineStr">
        <is>
          <t xml:space="preserve"> Resp:30626629942 / 1,20% sobre</t>
        </is>
      </c>
      <c r="D246" s="18" t="n">
        <v>106622.81</v>
      </c>
    </row>
    <row r="247" hidden="1" outlineLevel="1">
      <c r="A247" s="26" t="n">
        <v>46100</v>
      </c>
      <c r="B247" s="17" t="inlineStr">
        <is>
          <t>Regimen de recaudacion sircreb n</t>
        </is>
      </c>
      <c r="C247" s="17" t="inlineStr">
        <is>
          <t xml:space="preserve"> Resp:30626629942 / 1,20% sobre</t>
        </is>
      </c>
      <c r="D247" s="18" t="n">
        <v>59553.09</v>
      </c>
    </row>
    <row r="248" hidden="1" outlineLevel="1">
      <c r="A248" s="26" t="n">
        <v>46101</v>
      </c>
      <c r="B248" s="17" t="inlineStr">
        <is>
          <t>Regimen de recaudacion sircreb n</t>
        </is>
      </c>
      <c r="C248" s="17" t="inlineStr">
        <is>
          <t xml:space="preserve"> Resp:30626629942 / 1,20% sobre</t>
        </is>
      </c>
      <c r="D248" s="18" t="n">
        <v>81646.66</v>
      </c>
    </row>
    <row r="249" hidden="1" outlineLevel="1">
      <c r="A249" s="26" t="n">
        <v>46106</v>
      </c>
      <c r="B249" s="17" t="inlineStr">
        <is>
          <t>Regimen de recaudacion sircreb n</t>
        </is>
      </c>
      <c r="C249" s="17" t="inlineStr">
        <is>
          <t xml:space="preserve"> Resp:30626629942 / 1,20% sobre</t>
        </is>
      </c>
      <c r="D249" s="18" t="n">
        <v>33950.29</v>
      </c>
    </row>
    <row r="250" hidden="1" outlineLevel="1">
      <c r="A250" s="26" t="n">
        <v>46107</v>
      </c>
      <c r="B250" s="17" t="inlineStr">
        <is>
          <t>Regimen de recaudacion sircreb n</t>
        </is>
      </c>
      <c r="C250" s="17" t="inlineStr">
        <is>
          <t xml:space="preserve"> Resp:30626629942 / 1,20% sobre</t>
        </is>
      </c>
      <c r="D250" s="18" t="n">
        <v>214944.88</v>
      </c>
    </row>
    <row r="251" hidden="1" outlineLevel="1">
      <c r="A251" s="26" t="n">
        <v>46108</v>
      </c>
      <c r="B251" s="17" t="inlineStr">
        <is>
          <t>Regimen de recaudacion sircreb n</t>
        </is>
      </c>
      <c r="C251" s="17" t="inlineStr">
        <is>
          <t xml:space="preserve"> Resp:30626629942 / 1,20% sobre</t>
        </is>
      </c>
      <c r="D251" s="18" t="n">
        <v>48690.65</v>
      </c>
    </row>
    <row r="252" hidden="1" outlineLevel="1">
      <c r="A252" s="26" t="n">
        <v>46111</v>
      </c>
      <c r="B252" s="17" t="inlineStr">
        <is>
          <t>Regimen de recaudacion sircreb n</t>
        </is>
      </c>
      <c r="C252" s="17" t="inlineStr">
        <is>
          <t xml:space="preserve"> Resp:30626629942 / 1,20% sobre</t>
        </is>
      </c>
      <c r="D252" s="18" t="n">
        <v>39976.92</v>
      </c>
    </row>
    <row r="253">
      <c r="A253" s="27" t="n"/>
      <c r="B253" s="27" t="n"/>
      <c r="C253" s="20" t="inlineStr">
        <is>
          <t>TOTAL RET SIRCREB</t>
        </is>
      </c>
      <c r="D253" s="21">
        <f>SUM(D233:D252)</f>
        <v/>
      </c>
    </row>
  </sheetData>
  <mergeCells count="9">
    <mergeCell ref="A1:D1"/>
    <mergeCell ref="A143:D143"/>
    <mergeCell ref="A3:D3"/>
    <mergeCell ref="A231:D231"/>
    <mergeCell ref="A195:D195"/>
    <mergeCell ref="A129:D129"/>
    <mergeCell ref="A170:D170"/>
    <mergeCell ref="A207:D207"/>
    <mergeCell ref="A66:D6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8" customWidth="1" min="4" max="4"/>
    <col width="14" customWidth="1" min="5" max="5"/>
    <col width="16" customWidth="1" min="6" max="6"/>
    <col width="16" customWidth="1" min="7" max="7"/>
    <col width="25" customWidth="1" min="8" max="8"/>
    <col width="12" customWidth="1" min="9" max="9"/>
    <col width="10" customWidth="1" min="10" max="10"/>
    <col width="14" customWidth="1" min="11" max="11"/>
    <col width="20" customWidth="1" min="12" max="12"/>
    <col width="35" customWidth="1" min="13" max="13"/>
  </cols>
  <sheetData>
    <row r="1">
      <c r="A1" s="22" t="inlineStr">
        <is>
          <t>CONCILIACIÓN BANCARIA - Mar2026</t>
        </is>
      </c>
    </row>
    <row r="2">
      <c r="A2" s="2" t="inlineStr">
        <is>
          <t>INSTRUMENTAL PASTEUR SRL Desde: 28/02/26</t>
        </is>
      </c>
    </row>
    <row r="3">
      <c r="A3" s="30" t="inlineStr">
        <is>
          <t>⚠  DÉBITOS banco → HABER sistema  ·  CRÉDITOS banco → DEBE sistema</t>
        </is>
      </c>
    </row>
    <row r="5">
      <c r="A5" s="31" t="inlineStr">
        <is>
          <t>1. CRUCE DE MOVIMIENTOS (Banco vs Sistema)</t>
        </is>
      </c>
    </row>
    <row r="6">
      <c r="A6" s="25" t="inlineStr">
        <is>
          <t>Fecha Banco</t>
        </is>
      </c>
      <c r="B6" s="25" t="inlineStr">
        <is>
          <t>Déb. Banco</t>
        </is>
      </c>
      <c r="C6" s="25" t="inlineStr">
        <is>
          <t>Cré. Banco</t>
        </is>
      </c>
      <c r="D6" s="25" t="inlineStr">
        <is>
          <t>Conc. Banco</t>
        </is>
      </c>
      <c r="E6" s="25" t="inlineStr">
        <is>
          <t>Fecha Sist.</t>
        </is>
      </c>
      <c r="F6" s="25" t="inlineStr">
        <is>
          <t>Debe Sist.</t>
        </is>
      </c>
      <c r="G6" s="25" t="inlineStr">
        <is>
          <t>Haber Sist.</t>
        </is>
      </c>
      <c r="H6" s="25" t="inlineStr">
        <is>
          <t>Ref. Sist.</t>
        </is>
      </c>
      <c r="I6" s="25" t="inlineStr">
        <is>
          <t>Dif. $</t>
        </is>
      </c>
      <c r="J6" s="25" t="inlineStr">
        <is>
          <t>Dif. Días</t>
        </is>
      </c>
      <c r="K6" s="25" t="inlineStr">
        <is>
          <t>Nivel Cierre</t>
        </is>
      </c>
      <c r="L6" s="25" t="inlineStr">
        <is>
          <t>Estado</t>
        </is>
      </c>
      <c r="M6" s="25" t="inlineStr">
        <is>
          <t>Alerta/Nota</t>
        </is>
      </c>
    </row>
    <row r="7">
      <c r="A7" s="32" t="n">
        <v>46083</v>
      </c>
      <c r="B7" s="33" t="n"/>
      <c r="C7" s="34" t="n">
        <v>220378.89</v>
      </c>
      <c r="D7" s="33" t="inlineStr">
        <is>
          <t>Pago comercios getnet nro.liq.</t>
        </is>
      </c>
      <c r="E7" s="32" t="n">
        <v>46083</v>
      </c>
      <c r="F7" s="34" t="n">
        <v>220378.89</v>
      </c>
      <c r="G7" s="33" t="n"/>
      <c r="H7" s="33" t="inlineStr">
        <is>
          <t>AGGETNET - 377</t>
        </is>
      </c>
      <c r="I7" s="34" t="n">
        <v>0</v>
      </c>
      <c r="J7" s="33" t="n">
        <v>0</v>
      </c>
      <c r="K7" s="35" t="inlineStr">
        <is>
          <t>EXACTO</t>
        </is>
      </c>
      <c r="L7" s="33" t="inlineStr">
        <is>
          <t>CONCILIADO</t>
        </is>
      </c>
      <c r="M7" s="33" t="n"/>
    </row>
    <row r="8">
      <c r="A8" s="32" t="n">
        <v>46083</v>
      </c>
      <c r="B8" s="34" t="n">
        <v>762181.55</v>
      </c>
      <c r="C8" s="33" t="n"/>
      <c r="D8" s="33" t="inlineStr">
        <is>
          <t>Debito automatico</t>
        </is>
      </c>
      <c r="E8" s="32" t="n">
        <v>46083</v>
      </c>
      <c r="F8" s="33" t="n"/>
      <c r="G8" s="34" t="n">
        <v>762181.55</v>
      </c>
      <c r="H8" s="33" t="inlineStr">
        <is>
          <t>PAGO - 2926</t>
        </is>
      </c>
      <c r="I8" s="34" t="n">
        <v>0</v>
      </c>
      <c r="J8" s="33" t="n">
        <v>0</v>
      </c>
      <c r="K8" s="35" t="inlineStr">
        <is>
          <t>EXACTO</t>
        </is>
      </c>
      <c r="L8" s="33" t="inlineStr">
        <is>
          <t>CONCILIADO</t>
        </is>
      </c>
      <c r="M8" s="33" t="n"/>
    </row>
    <row r="9">
      <c r="A9" s="32" t="n">
        <v>46083</v>
      </c>
      <c r="B9" s="33" t="n"/>
      <c r="C9" s="34" t="n">
        <v>17956.09</v>
      </c>
      <c r="D9" s="33" t="inlineStr">
        <is>
          <t>Pago comercios getnet nro.liq.</t>
        </is>
      </c>
      <c r="E9" s="32" t="n">
        <v>46083</v>
      </c>
      <c r="F9" s="34" t="n">
        <v>17956.09</v>
      </c>
      <c r="G9" s="33" t="n"/>
      <c r="H9" s="33" t="inlineStr">
        <is>
          <t>AGGETNET - 377</t>
        </is>
      </c>
      <c r="I9" s="34" t="n">
        <v>0</v>
      </c>
      <c r="J9" s="33" t="n">
        <v>0</v>
      </c>
      <c r="K9" s="35" t="inlineStr">
        <is>
          <t>EXACTO</t>
        </is>
      </c>
      <c r="L9" s="33" t="inlineStr">
        <is>
          <t>CONCILIADO</t>
        </is>
      </c>
      <c r="M9" s="33" t="n"/>
    </row>
    <row r="10">
      <c r="A10" s="32" t="n">
        <v>46083</v>
      </c>
      <c r="B10" s="33" t="n"/>
      <c r="C10" s="34" t="n">
        <v>1500000</v>
      </c>
      <c r="D10" s="33" t="inlineStr">
        <is>
          <t>Transferencia recibida</t>
        </is>
      </c>
      <c r="E10" s="32" t="n">
        <v>46083</v>
      </c>
      <c r="F10" s="34" t="n">
        <v>1500000</v>
      </c>
      <c r="G10" s="33" t="n"/>
      <c r="H10" s="33" t="inlineStr">
        <is>
          <t>MOVFONDOS - 7314</t>
        </is>
      </c>
      <c r="I10" s="34" t="n">
        <v>0</v>
      </c>
      <c r="J10" s="33" t="n">
        <v>0</v>
      </c>
      <c r="K10" s="35" t="inlineStr">
        <is>
          <t>EXACTO</t>
        </is>
      </c>
      <c r="L10" s="33" t="inlineStr">
        <is>
          <t>CONCILIADO</t>
        </is>
      </c>
      <c r="M10" s="33" t="n"/>
    </row>
    <row r="11">
      <c r="A11" s="32" t="n">
        <v>46083</v>
      </c>
      <c r="B11" s="33" t="n"/>
      <c r="C11" s="34" t="n">
        <v>1065256</v>
      </c>
      <c r="D11" s="33" t="inlineStr">
        <is>
          <t>Pago a proveedores recibido</t>
        </is>
      </c>
      <c r="E11" s="32" t="n">
        <v>46083</v>
      </c>
      <c r="F11" s="34" t="n">
        <v>1065256</v>
      </c>
      <c r="G11" s="33" t="n"/>
      <c r="H11" s="33" t="inlineStr">
        <is>
          <t>MOVFONDOS - 7303</t>
        </is>
      </c>
      <c r="I11" s="34" t="n">
        <v>0</v>
      </c>
      <c r="J11" s="33" t="n">
        <v>0</v>
      </c>
      <c r="K11" s="35" t="inlineStr">
        <is>
          <t>EXACTO</t>
        </is>
      </c>
      <c r="L11" s="33" t="inlineStr">
        <is>
          <t>CONCILIADO</t>
        </is>
      </c>
      <c r="M11" s="33" t="n"/>
    </row>
    <row r="12">
      <c r="A12" s="32" t="n">
        <v>46083</v>
      </c>
      <c r="B12" s="33" t="n"/>
      <c r="C12" s="34" t="n">
        <v>140722</v>
      </c>
      <c r="D12" s="33" t="inlineStr">
        <is>
          <t>Transferencia recibida</t>
        </is>
      </c>
      <c r="E12" s="32" t="n">
        <v>46083</v>
      </c>
      <c r="F12" s="34" t="n">
        <v>140722</v>
      </c>
      <c r="G12" s="33" t="n"/>
      <c r="H12" s="33" t="inlineStr">
        <is>
          <t>MOVFONDOS - 7307</t>
        </is>
      </c>
      <c r="I12" s="34" t="n">
        <v>0</v>
      </c>
      <c r="J12" s="33" t="n">
        <v>0</v>
      </c>
      <c r="K12" s="35" t="inlineStr">
        <is>
          <t>EXACTO</t>
        </is>
      </c>
      <c r="L12" s="33" t="inlineStr">
        <is>
          <t>CONCILIADO</t>
        </is>
      </c>
      <c r="M12" s="33" t="n"/>
    </row>
    <row r="13">
      <c r="A13" s="32" t="n">
        <v>46083</v>
      </c>
      <c r="B13" s="33" t="n"/>
      <c r="C13" s="34" t="n">
        <v>155788.2</v>
      </c>
      <c r="D13" s="33" t="inlineStr">
        <is>
          <t>Transferencia recibida</t>
        </is>
      </c>
      <c r="E13" s="32" t="n">
        <v>46083</v>
      </c>
      <c r="F13" s="34" t="n">
        <v>155788.2</v>
      </c>
      <c r="G13" s="33" t="n"/>
      <c r="H13" s="33" t="inlineStr">
        <is>
          <t>MOVFONDOS - 7319</t>
        </is>
      </c>
      <c r="I13" s="34" t="n">
        <v>0</v>
      </c>
      <c r="J13" s="33" t="n">
        <v>0</v>
      </c>
      <c r="K13" s="35" t="inlineStr">
        <is>
          <t>EXACTO</t>
        </is>
      </c>
      <c r="L13" s="33" t="inlineStr">
        <is>
          <t>CONCILIADO</t>
        </is>
      </c>
      <c r="M13" s="33" t="n"/>
    </row>
    <row r="14">
      <c r="A14" s="32" t="n">
        <v>46083</v>
      </c>
      <c r="B14" s="33" t="n"/>
      <c r="C14" s="34" t="n">
        <v>1500000</v>
      </c>
      <c r="D14" s="33" t="inlineStr">
        <is>
          <t>Transf recibida cvu mismo titular</t>
        </is>
      </c>
      <c r="E14" s="32" t="n">
        <v>46083</v>
      </c>
      <c r="F14" s="34" t="n">
        <v>1500000</v>
      </c>
      <c r="G14" s="33" t="n"/>
      <c r="H14" s="33" t="inlineStr">
        <is>
          <t>MOVFONDOS - 7722</t>
        </is>
      </c>
      <c r="I14" s="34" t="n">
        <v>0</v>
      </c>
      <c r="J14" s="33" t="n">
        <v>0</v>
      </c>
      <c r="K14" s="35" t="inlineStr">
        <is>
          <t>EXACTO</t>
        </is>
      </c>
      <c r="L14" s="33" t="inlineStr">
        <is>
          <t>CONCILIADO</t>
        </is>
      </c>
      <c r="M14" s="33" t="n"/>
    </row>
    <row r="15">
      <c r="A15" s="32" t="n">
        <v>46083</v>
      </c>
      <c r="B15" s="33" t="n"/>
      <c r="C15" s="34" t="n">
        <v>3500000</v>
      </c>
      <c r="D15" s="33" t="inlineStr">
        <is>
          <t>Transf recibida cvu mismo titular</t>
        </is>
      </c>
      <c r="E15" s="32" t="n">
        <v>46083</v>
      </c>
      <c r="F15" s="34" t="n">
        <v>3500000</v>
      </c>
      <c r="G15" s="33" t="n"/>
      <c r="H15" s="33" t="inlineStr">
        <is>
          <t>MOVFONDOS - 7313</t>
        </is>
      </c>
      <c r="I15" s="34" t="n">
        <v>0</v>
      </c>
      <c r="J15" s="33" t="n">
        <v>0</v>
      </c>
      <c r="K15" s="35" t="inlineStr">
        <is>
          <t>EXACTO</t>
        </is>
      </c>
      <c r="L15" s="33" t="inlineStr">
        <is>
          <t>CONCILIADO</t>
        </is>
      </c>
      <c r="M15" s="33" t="n"/>
    </row>
    <row r="16">
      <c r="A16" s="32" t="n">
        <v>46083</v>
      </c>
      <c r="B16" s="34" t="n">
        <v>10000000</v>
      </c>
      <c r="C16" s="33" t="n"/>
      <c r="D16" s="33" t="inlineStr">
        <is>
          <t>Suscripcion fondos comunes invers</t>
        </is>
      </c>
      <c r="E16" s="32" t="n">
        <v>46083</v>
      </c>
      <c r="F16" s="33" t="n"/>
      <c r="G16" s="34" t="n">
        <v>10000000</v>
      </c>
      <c r="H16" s="33" t="inlineStr">
        <is>
          <t>MOVFONDOS - 7315</t>
        </is>
      </c>
      <c r="I16" s="34" t="n">
        <v>0</v>
      </c>
      <c r="J16" s="33" t="n">
        <v>0</v>
      </c>
      <c r="K16" s="35" t="inlineStr">
        <is>
          <t>EXACTO</t>
        </is>
      </c>
      <c r="L16" s="33" t="inlineStr">
        <is>
          <t>CONCILIADO</t>
        </is>
      </c>
      <c r="M16" s="33" t="n"/>
    </row>
    <row r="17">
      <c r="A17" s="32" t="n">
        <v>46083</v>
      </c>
      <c r="B17" s="34" t="n">
        <v>815844.9399999999</v>
      </c>
      <c r="C17" s="33" t="n"/>
      <c r="D17" s="33" t="inlineStr">
        <is>
          <t>Pago tarjeta de credito visa</t>
        </is>
      </c>
      <c r="E17" s="32" t="n">
        <v>46083</v>
      </c>
      <c r="F17" s="33" t="n"/>
      <c r="G17" s="34" t="n">
        <v>815844.9399999999</v>
      </c>
      <c r="H17" s="33" t="inlineStr">
        <is>
          <t>MOVFONDOS - 7321</t>
        </is>
      </c>
      <c r="I17" s="34" t="n">
        <v>0</v>
      </c>
      <c r="J17" s="33" t="n">
        <v>0</v>
      </c>
      <c r="K17" s="35" t="inlineStr">
        <is>
          <t>EXACTO</t>
        </is>
      </c>
      <c r="L17" s="33" t="inlineStr">
        <is>
          <t>CONCILIADO</t>
        </is>
      </c>
      <c r="M17" s="33" t="n"/>
    </row>
    <row r="18">
      <c r="A18" s="32" t="n">
        <v>46084</v>
      </c>
      <c r="B18" s="33" t="n"/>
      <c r="C18" s="34" t="n">
        <v>177280.27</v>
      </c>
      <c r="D18" s="33" t="inlineStr">
        <is>
          <t>Pago comercios getnet nro.liq.</t>
        </is>
      </c>
      <c r="E18" s="32" t="n">
        <v>46084</v>
      </c>
      <c r="F18" s="34" t="n">
        <v>177280.27</v>
      </c>
      <c r="G18" s="33" t="n"/>
      <c r="H18" s="33" t="inlineStr">
        <is>
          <t>AGGETNET - 383</t>
        </is>
      </c>
      <c r="I18" s="34" t="n">
        <v>0</v>
      </c>
      <c r="J18" s="33" t="n">
        <v>0</v>
      </c>
      <c r="K18" s="35" t="inlineStr">
        <is>
          <t>EXACTO</t>
        </is>
      </c>
      <c r="L18" s="33" t="inlineStr">
        <is>
          <t>CONCILIADO</t>
        </is>
      </c>
      <c r="M18" s="33" t="n"/>
    </row>
    <row r="19">
      <c r="A19" s="32" t="n">
        <v>46084</v>
      </c>
      <c r="B19" s="33" t="n"/>
      <c r="C19" s="34" t="n">
        <v>5078567.09</v>
      </c>
      <c r="D19" s="33" t="inlineStr">
        <is>
          <t>Pago a proveedores recibido</t>
        </is>
      </c>
      <c r="E19" s="32" t="n">
        <v>46084</v>
      </c>
      <c r="F19" s="34" t="n">
        <v>5078567.09</v>
      </c>
      <c r="G19" s="33" t="n"/>
      <c r="H19" s="33" t="inlineStr">
        <is>
          <t>MOVFONDOS - 7320</t>
        </is>
      </c>
      <c r="I19" s="34" t="n">
        <v>0</v>
      </c>
      <c r="J19" s="33" t="n">
        <v>0</v>
      </c>
      <c r="K19" s="35" t="inlineStr">
        <is>
          <t>EXACTO</t>
        </is>
      </c>
      <c r="L19" s="33" t="inlineStr">
        <is>
          <t>CONCILIADO</t>
        </is>
      </c>
      <c r="M19" s="33" t="n"/>
    </row>
    <row r="20">
      <c r="A20" s="32" t="n">
        <v>46084</v>
      </c>
      <c r="B20" s="33" t="n"/>
      <c r="C20" s="34" t="n">
        <v>41771.35</v>
      </c>
      <c r="D20" s="33" t="inlineStr">
        <is>
          <t>Pago comercios getnet nro.liq.</t>
        </is>
      </c>
      <c r="E20" s="32" t="n">
        <v>46084</v>
      </c>
      <c r="F20" s="34" t="n">
        <v>41771.35</v>
      </c>
      <c r="G20" s="33" t="n"/>
      <c r="H20" s="33" t="inlineStr">
        <is>
          <t>AGGETNET - 383</t>
        </is>
      </c>
      <c r="I20" s="34" t="n">
        <v>0</v>
      </c>
      <c r="J20" s="33" t="n">
        <v>0</v>
      </c>
      <c r="K20" s="35" t="inlineStr">
        <is>
          <t>EXACTO</t>
        </is>
      </c>
      <c r="L20" s="33" t="inlineStr">
        <is>
          <t>CONCILIADO</t>
        </is>
      </c>
      <c r="M20" s="33" t="n"/>
    </row>
    <row r="21">
      <c r="A21" s="32" t="n">
        <v>46084</v>
      </c>
      <c r="B21" s="33" t="n"/>
      <c r="C21" s="34" t="n">
        <v>66691.62</v>
      </c>
      <c r="D21" s="33" t="inlineStr">
        <is>
          <t>Pago a proveedores recibido</t>
        </is>
      </c>
      <c r="E21" s="32" t="n">
        <v>46084</v>
      </c>
      <c r="F21" s="34" t="n">
        <v>66691.62</v>
      </c>
      <c r="G21" s="33" t="n"/>
      <c r="H21" s="33" t="inlineStr">
        <is>
          <t>MOVFONDOS - 7326</t>
        </is>
      </c>
      <c r="I21" s="34" t="n">
        <v>0</v>
      </c>
      <c r="J21" s="33" t="n">
        <v>0</v>
      </c>
      <c r="K21" s="35" t="inlineStr">
        <is>
          <t>EXACTO</t>
        </is>
      </c>
      <c r="L21" s="33" t="inlineStr">
        <is>
          <t>CONCILIADO</t>
        </is>
      </c>
      <c r="M21" s="33" t="n"/>
    </row>
    <row r="22">
      <c r="A22" s="32" t="n">
        <v>46084</v>
      </c>
      <c r="B22" s="33" t="n"/>
      <c r="C22" s="34" t="n">
        <v>376285.8</v>
      </c>
      <c r="D22" s="33" t="inlineStr">
        <is>
          <t>Transferencia recibida</t>
        </is>
      </c>
      <c r="E22" s="32" t="n">
        <v>46084</v>
      </c>
      <c r="F22" s="34" t="n">
        <v>376285.8</v>
      </c>
      <c r="G22" s="33" t="n"/>
      <c r="H22" s="33" t="inlineStr">
        <is>
          <t>MOVFONDOS - 7327</t>
        </is>
      </c>
      <c r="I22" s="34" t="n">
        <v>0</v>
      </c>
      <c r="J22" s="33" t="n">
        <v>0</v>
      </c>
      <c r="K22" s="35" t="inlineStr">
        <is>
          <t>EXACTO</t>
        </is>
      </c>
      <c r="L22" s="33" t="inlineStr">
        <is>
          <t>CONCILIADO</t>
        </is>
      </c>
      <c r="M22" s="33" t="n"/>
    </row>
    <row r="23">
      <c r="A23" s="32" t="n">
        <v>46084</v>
      </c>
      <c r="B23" s="33" t="n"/>
      <c r="C23" s="34" t="n">
        <v>111289.75</v>
      </c>
      <c r="D23" s="33" t="inlineStr">
        <is>
          <t>Transferencia recibida</t>
        </is>
      </c>
      <c r="E23" s="32" t="n">
        <v>46084</v>
      </c>
      <c r="F23" s="34" t="n">
        <v>111289.75</v>
      </c>
      <c r="G23" s="33" t="n"/>
      <c r="H23" s="33" t="inlineStr">
        <is>
          <t>MOVFONDOS - 7328</t>
        </is>
      </c>
      <c r="I23" s="34" t="n">
        <v>0</v>
      </c>
      <c r="J23" s="33" t="n">
        <v>0</v>
      </c>
      <c r="K23" s="35" t="inlineStr">
        <is>
          <t>EXACTO</t>
        </is>
      </c>
      <c r="L23" s="33" t="inlineStr">
        <is>
          <t>CONCILIADO</t>
        </is>
      </c>
      <c r="M23" s="33" t="n"/>
    </row>
    <row r="24">
      <c r="A24" s="32" t="n">
        <v>46084</v>
      </c>
      <c r="B24" s="33" t="n"/>
      <c r="C24" s="34" t="n">
        <v>698727.85</v>
      </c>
      <c r="D24" s="33" t="inlineStr">
        <is>
          <t>Credito transf online banking emp</t>
        </is>
      </c>
      <c r="E24" s="32" t="n">
        <v>46084</v>
      </c>
      <c r="F24" s="34" t="n">
        <v>698727.85</v>
      </c>
      <c r="G24" s="33" t="n"/>
      <c r="H24" s="33" t="inlineStr">
        <is>
          <t>MOVFONDOS - 7329</t>
        </is>
      </c>
      <c r="I24" s="34" t="n">
        <v>0</v>
      </c>
      <c r="J24" s="33" t="n">
        <v>0</v>
      </c>
      <c r="K24" s="35" t="inlineStr">
        <is>
          <t>EXACTO</t>
        </is>
      </c>
      <c r="L24" s="33" t="inlineStr">
        <is>
          <t>CONCILIADO</t>
        </is>
      </c>
      <c r="M24" s="33" t="n"/>
    </row>
    <row r="25">
      <c r="A25" s="32" t="n">
        <v>46084</v>
      </c>
      <c r="B25" s="33" t="n"/>
      <c r="C25" s="34" t="n">
        <v>41895</v>
      </c>
      <c r="D25" s="33" t="inlineStr">
        <is>
          <t>Credito transf online banking emp</t>
        </is>
      </c>
      <c r="E25" s="32" t="n">
        <v>46084</v>
      </c>
      <c r="F25" s="34" t="n">
        <v>41895</v>
      </c>
      <c r="G25" s="33" t="n"/>
      <c r="H25" s="33" t="inlineStr">
        <is>
          <t>MOVFONDOS - 7330</t>
        </is>
      </c>
      <c r="I25" s="34" t="n">
        <v>0</v>
      </c>
      <c r="J25" s="33" t="n">
        <v>0</v>
      </c>
      <c r="K25" s="35" t="inlineStr">
        <is>
          <t>EXACTO</t>
        </is>
      </c>
      <c r="L25" s="33" t="inlineStr">
        <is>
          <t>CONCILIADO</t>
        </is>
      </c>
      <c r="M25" s="33" t="n"/>
    </row>
    <row r="26">
      <c r="A26" s="32" t="n">
        <v>46084</v>
      </c>
      <c r="B26" s="33" t="n"/>
      <c r="C26" s="34" t="n">
        <v>1676255.37</v>
      </c>
      <c r="D26" s="33" t="inlineStr">
        <is>
          <t>Pago a proveedores</t>
        </is>
      </c>
      <c r="E26" s="32" t="n">
        <v>46084</v>
      </c>
      <c r="F26" s="34" t="n">
        <v>1676255.37</v>
      </c>
      <c r="G26" s="33" t="n"/>
      <c r="H26" s="33" t="inlineStr">
        <is>
          <t>MOVFONDOS - 7335</t>
        </is>
      </c>
      <c r="I26" s="34" t="n">
        <v>0</v>
      </c>
      <c r="J26" s="33" t="n">
        <v>0</v>
      </c>
      <c r="K26" s="35" t="inlineStr">
        <is>
          <t>EXACTO</t>
        </is>
      </c>
      <c r="L26" s="33" t="inlineStr">
        <is>
          <t>CONCILIADO</t>
        </is>
      </c>
      <c r="M26" s="33" t="n"/>
    </row>
    <row r="27">
      <c r="A27" s="32" t="n">
        <v>46084</v>
      </c>
      <c r="B27" s="34" t="n">
        <v>175593.51</v>
      </c>
      <c r="C27" s="33" t="n"/>
      <c r="D27" s="33" t="inlineStr">
        <is>
          <t>Transferencia realizada</t>
        </is>
      </c>
      <c r="E27" s="32" t="n">
        <v>46084</v>
      </c>
      <c r="F27" s="33" t="n"/>
      <c r="G27" s="34" t="n">
        <v>175593.51</v>
      </c>
      <c r="H27" s="33" t="inlineStr">
        <is>
          <t>PAGO - 2931</t>
        </is>
      </c>
      <c r="I27" s="34" t="n">
        <v>0</v>
      </c>
      <c r="J27" s="33" t="n">
        <v>0</v>
      </c>
      <c r="K27" s="35" t="inlineStr">
        <is>
          <t>EXACTO</t>
        </is>
      </c>
      <c r="L27" s="33" t="inlineStr">
        <is>
          <t>CONCILIADO</t>
        </is>
      </c>
      <c r="M27" s="33" t="n"/>
    </row>
    <row r="28">
      <c r="A28" s="32" t="n">
        <v>46084</v>
      </c>
      <c r="B28" s="34" t="n">
        <v>920576.26</v>
      </c>
      <c r="C28" s="33" t="n"/>
      <c r="D28" s="33" t="inlineStr">
        <is>
          <t>Transferencia realizada</t>
        </is>
      </c>
      <c r="E28" s="32" t="n">
        <v>46084</v>
      </c>
      <c r="F28" s="33" t="n"/>
      <c r="G28" s="34" t="n">
        <v>920576.26</v>
      </c>
      <c r="H28" s="33" t="inlineStr">
        <is>
          <t>PAGO - 2930</t>
        </is>
      </c>
      <c r="I28" s="34" t="n">
        <v>0</v>
      </c>
      <c r="J28" s="33" t="n">
        <v>0</v>
      </c>
      <c r="K28" s="35" t="inlineStr">
        <is>
          <t>EXACTO</t>
        </is>
      </c>
      <c r="L28" s="33" t="inlineStr">
        <is>
          <t>CONCILIADO</t>
        </is>
      </c>
      <c r="M28" s="33" t="n"/>
    </row>
    <row r="29">
      <c r="A29" s="32" t="n">
        <v>46084</v>
      </c>
      <c r="B29" s="34" t="n">
        <v>353925</v>
      </c>
      <c r="C29" s="33" t="n"/>
      <c r="D29" s="33" t="inlineStr">
        <is>
          <t>Transferencia realizada</t>
        </is>
      </c>
      <c r="E29" s="32" t="n">
        <v>46084</v>
      </c>
      <c r="F29" s="33" t="n"/>
      <c r="G29" s="34" t="n">
        <v>353925</v>
      </c>
      <c r="H29" s="33" t="inlineStr">
        <is>
          <t>PAGO - 2934</t>
        </is>
      </c>
      <c r="I29" s="34" t="n">
        <v>0</v>
      </c>
      <c r="J29" s="33" t="n">
        <v>0</v>
      </c>
      <c r="K29" s="35" t="inlineStr">
        <is>
          <t>EXACTO</t>
        </is>
      </c>
      <c r="L29" s="33" t="inlineStr">
        <is>
          <t>CONCILIADO</t>
        </is>
      </c>
      <c r="M29" s="33" t="n"/>
    </row>
    <row r="30">
      <c r="A30" s="32" t="n">
        <v>46084</v>
      </c>
      <c r="B30" s="34" t="n">
        <v>500000</v>
      </c>
      <c r="C30" s="33" t="n"/>
      <c r="D30" s="33" t="inlineStr">
        <is>
          <t>Transferencia realizada</t>
        </is>
      </c>
      <c r="E30" s="32" t="n">
        <v>46084</v>
      </c>
      <c r="F30" s="33" t="n"/>
      <c r="G30" s="34" t="n">
        <v>500000</v>
      </c>
      <c r="H30" s="33" t="inlineStr">
        <is>
          <t>PAGO - 2939</t>
        </is>
      </c>
      <c r="I30" s="34" t="n">
        <v>0</v>
      </c>
      <c r="J30" s="33" t="n">
        <v>0</v>
      </c>
      <c r="K30" s="35" t="inlineStr">
        <is>
          <t>EXACTO</t>
        </is>
      </c>
      <c r="L30" s="33" t="inlineStr">
        <is>
          <t>CONCILIADO</t>
        </is>
      </c>
      <c r="M30" s="33" t="n"/>
    </row>
    <row r="31">
      <c r="A31" s="32" t="n">
        <v>46084</v>
      </c>
      <c r="B31" s="34" t="n">
        <v>7643370</v>
      </c>
      <c r="C31" s="33" t="n"/>
      <c r="D31" s="33" t="inlineStr">
        <is>
          <t>Transferencia realizada</t>
        </is>
      </c>
      <c r="E31" s="32" t="n">
        <v>46084</v>
      </c>
      <c r="F31" s="33" t="n"/>
      <c r="G31" s="34" t="n">
        <v>7643370</v>
      </c>
      <c r="H31" s="33" t="inlineStr">
        <is>
          <t>PAGO - 2937</t>
        </is>
      </c>
      <c r="I31" s="34" t="n">
        <v>0</v>
      </c>
      <c r="J31" s="33" t="n">
        <v>0</v>
      </c>
      <c r="K31" s="35" t="inlineStr">
        <is>
          <t>EXACTO</t>
        </is>
      </c>
      <c r="L31" s="33" t="inlineStr">
        <is>
          <t>CONCILIADO</t>
        </is>
      </c>
      <c r="M31" s="33" t="n"/>
    </row>
    <row r="32">
      <c r="A32" s="32" t="n">
        <v>46084</v>
      </c>
      <c r="B32" s="34" t="n">
        <v>710000</v>
      </c>
      <c r="C32" s="33" t="n"/>
      <c r="D32" s="33" t="inlineStr">
        <is>
          <t>Transferencia realizada</t>
        </is>
      </c>
      <c r="E32" s="32" t="n">
        <v>46084</v>
      </c>
      <c r="F32" s="33" t="n"/>
      <c r="G32" s="34" t="n">
        <v>710000</v>
      </c>
      <c r="H32" s="33" t="inlineStr">
        <is>
          <t>PAGO - 2938</t>
        </is>
      </c>
      <c r="I32" s="34" t="n">
        <v>0</v>
      </c>
      <c r="J32" s="33" t="n">
        <v>0</v>
      </c>
      <c r="K32" s="35" t="inlineStr">
        <is>
          <t>EXACTO</t>
        </is>
      </c>
      <c r="L32" s="33" t="inlineStr">
        <is>
          <t>CONCILIADO</t>
        </is>
      </c>
      <c r="M32" s="33" t="n"/>
    </row>
    <row r="33">
      <c r="A33" s="32" t="n">
        <v>46084</v>
      </c>
      <c r="B33" s="34" t="n">
        <v>440846.7</v>
      </c>
      <c r="C33" s="33" t="n"/>
      <c r="D33" s="33" t="inlineStr">
        <is>
          <t>Debito transf. online banking emp</t>
        </is>
      </c>
      <c r="E33" s="32" t="n">
        <v>46084</v>
      </c>
      <c r="F33" s="33" t="n"/>
      <c r="G33" s="34" t="n">
        <v>440846.7</v>
      </c>
      <c r="H33" s="33" t="inlineStr">
        <is>
          <t>MOVFONDOS - 7334</t>
        </is>
      </c>
      <c r="I33" s="34" t="n">
        <v>0</v>
      </c>
      <c r="J33" s="33" t="n">
        <v>0</v>
      </c>
      <c r="K33" s="35" t="inlineStr">
        <is>
          <t>EXACTO</t>
        </is>
      </c>
      <c r="L33" s="33" t="inlineStr">
        <is>
          <t>CONCILIADO</t>
        </is>
      </c>
      <c r="M33" s="33" t="n"/>
    </row>
    <row r="34">
      <c r="A34" s="32" t="n">
        <v>46084</v>
      </c>
      <c r="B34" s="34" t="n">
        <v>72894.69</v>
      </c>
      <c r="C34" s="33" t="n"/>
      <c r="D34" s="33" t="inlineStr">
        <is>
          <t>Debito transf. online banking emp</t>
        </is>
      </c>
      <c r="E34" s="32" t="n">
        <v>46084</v>
      </c>
      <c r="F34" s="33" t="n"/>
      <c r="G34" s="34" t="n">
        <v>72894.69</v>
      </c>
      <c r="H34" s="33" t="inlineStr">
        <is>
          <t>PAGO - 2933</t>
        </is>
      </c>
      <c r="I34" s="34" t="n">
        <v>0</v>
      </c>
      <c r="J34" s="33" t="n">
        <v>0</v>
      </c>
      <c r="K34" s="35" t="inlineStr">
        <is>
          <t>EXACTO</t>
        </is>
      </c>
      <c r="L34" s="33" t="inlineStr">
        <is>
          <t>CONCILIADO</t>
        </is>
      </c>
      <c r="M34" s="33" t="n"/>
    </row>
    <row r="35">
      <c r="A35" s="32" t="n">
        <v>46084</v>
      </c>
      <c r="B35" s="34" t="n">
        <v>109631.34</v>
      </c>
      <c r="C35" s="33" t="n"/>
      <c r="D35" s="33" t="inlineStr">
        <is>
          <t>Debito transf. online banking emp</t>
        </is>
      </c>
      <c r="E35" s="32" t="n">
        <v>46084</v>
      </c>
      <c r="F35" s="33" t="n"/>
      <c r="G35" s="34" t="n">
        <v>109631.34</v>
      </c>
      <c r="H35" s="33" t="inlineStr">
        <is>
          <t>PAGO - 2932</t>
        </is>
      </c>
      <c r="I35" s="34" t="n">
        <v>0</v>
      </c>
      <c r="J35" s="33" t="n">
        <v>0</v>
      </c>
      <c r="K35" s="35" t="inlineStr">
        <is>
          <t>EXACTO</t>
        </is>
      </c>
      <c r="L35" s="33" t="inlineStr">
        <is>
          <t>CONCILIADO</t>
        </is>
      </c>
      <c r="M35" s="33" t="n"/>
    </row>
    <row r="36">
      <c r="A36" s="32" t="n">
        <v>46085</v>
      </c>
      <c r="B36" s="33" t="n"/>
      <c r="C36" s="34" t="n">
        <v>93757.34</v>
      </c>
      <c r="D36" s="33" t="inlineStr">
        <is>
          <t>Pago comercios getnet nro.liq.</t>
        </is>
      </c>
      <c r="E36" s="32" t="n">
        <v>46085</v>
      </c>
      <c r="F36" s="34" t="n">
        <v>93757.34</v>
      </c>
      <c r="G36" s="33" t="n"/>
      <c r="H36" s="33" t="inlineStr">
        <is>
          <t>AGGETNET - 384</t>
        </is>
      </c>
      <c r="I36" s="34" t="n">
        <v>0</v>
      </c>
      <c r="J36" s="33" t="n">
        <v>0</v>
      </c>
      <c r="K36" s="35" t="inlineStr">
        <is>
          <t>EXACTO</t>
        </is>
      </c>
      <c r="L36" s="33" t="inlineStr">
        <is>
          <t>CONCILIADO</t>
        </is>
      </c>
      <c r="M36" s="33" t="n"/>
    </row>
    <row r="37">
      <c r="A37" s="32" t="n">
        <v>46085</v>
      </c>
      <c r="B37" s="33" t="n"/>
      <c r="C37" s="34" t="n">
        <v>149075.55</v>
      </c>
      <c r="D37" s="33" t="inlineStr">
        <is>
          <t>Pago comercios getnet nro.liq.</t>
        </is>
      </c>
      <c r="E37" s="32" t="n">
        <v>46085</v>
      </c>
      <c r="F37" s="34" t="n">
        <v>149075.55</v>
      </c>
      <c r="G37" s="33" t="n"/>
      <c r="H37" s="33" t="inlineStr">
        <is>
          <t>AGGETNET - 384</t>
        </is>
      </c>
      <c r="I37" s="34" t="n">
        <v>0</v>
      </c>
      <c r="J37" s="33" t="n">
        <v>0</v>
      </c>
      <c r="K37" s="35" t="inlineStr">
        <is>
          <t>EXACTO</t>
        </is>
      </c>
      <c r="L37" s="33" t="inlineStr">
        <is>
          <t>CONCILIADO</t>
        </is>
      </c>
      <c r="M37" s="33" t="n"/>
    </row>
    <row r="38">
      <c r="A38" s="32" t="n">
        <v>46085</v>
      </c>
      <c r="B38" s="33" t="n"/>
      <c r="C38" s="34" t="n">
        <v>43392</v>
      </c>
      <c r="D38" s="33" t="inlineStr">
        <is>
          <t>Transferencia ctas mobile banking</t>
        </is>
      </c>
      <c r="E38" s="32" t="n">
        <v>46085</v>
      </c>
      <c r="F38" s="34" t="n">
        <v>43392</v>
      </c>
      <c r="G38" s="33" t="n"/>
      <c r="H38" s="33" t="inlineStr">
        <is>
          <t>MOVFONDOS - 7345</t>
        </is>
      </c>
      <c r="I38" s="34" t="n">
        <v>0</v>
      </c>
      <c r="J38" s="33" t="n">
        <v>0</v>
      </c>
      <c r="K38" s="35" t="inlineStr">
        <is>
          <t>EXACTO</t>
        </is>
      </c>
      <c r="L38" s="33" t="inlineStr">
        <is>
          <t>CONCILIADO</t>
        </is>
      </c>
      <c r="M38" s="33" t="n"/>
    </row>
    <row r="39">
      <c r="A39" s="32" t="n">
        <v>46085</v>
      </c>
      <c r="B39" s="33" t="n"/>
      <c r="C39" s="34" t="n">
        <v>21971.77</v>
      </c>
      <c r="D39" s="33" t="inlineStr">
        <is>
          <t>Transferencia recibida</t>
        </is>
      </c>
      <c r="E39" s="32" t="n">
        <v>46085</v>
      </c>
      <c r="F39" s="34" t="n">
        <v>21971.77</v>
      </c>
      <c r="G39" s="33" t="n"/>
      <c r="H39" s="33" t="inlineStr">
        <is>
          <t>MOVFONDOS - 7344</t>
        </is>
      </c>
      <c r="I39" s="34" t="n">
        <v>0</v>
      </c>
      <c r="J39" s="33" t="n">
        <v>0</v>
      </c>
      <c r="K39" s="35" t="inlineStr">
        <is>
          <t>EXACTO</t>
        </is>
      </c>
      <c r="L39" s="33" t="inlineStr">
        <is>
          <t>CONCILIADO</t>
        </is>
      </c>
      <c r="M39" s="33" t="n"/>
    </row>
    <row r="40">
      <c r="A40" s="32" t="n">
        <v>46086</v>
      </c>
      <c r="B40" s="33" t="n"/>
      <c r="C40" s="34" t="n">
        <v>23590.97</v>
      </c>
      <c r="D40" s="33" t="inlineStr">
        <is>
          <t>Pago comercios getnet nro.liq.</t>
        </is>
      </c>
      <c r="E40" s="32" t="n">
        <v>46086</v>
      </c>
      <c r="F40" s="34" t="n">
        <v>23590.97</v>
      </c>
      <c r="G40" s="33" t="n"/>
      <c r="H40" s="33" t="inlineStr">
        <is>
          <t>AGGETNET - 385</t>
        </is>
      </c>
      <c r="I40" s="34" t="n">
        <v>0</v>
      </c>
      <c r="J40" s="33" t="n">
        <v>0</v>
      </c>
      <c r="K40" s="35" t="inlineStr">
        <is>
          <t>EXACTO</t>
        </is>
      </c>
      <c r="L40" s="33" t="inlineStr">
        <is>
          <t>CONCILIADO</t>
        </is>
      </c>
      <c r="M40" s="33" t="n"/>
    </row>
    <row r="41">
      <c r="A41" s="32" t="n">
        <v>46086</v>
      </c>
      <c r="B41" s="33" t="n"/>
      <c r="C41" s="34" t="n">
        <v>113286.66</v>
      </c>
      <c r="D41" s="33" t="inlineStr">
        <is>
          <t>Pago comercios getnet nro.liq.</t>
        </is>
      </c>
      <c r="E41" s="32" t="n">
        <v>46086</v>
      </c>
      <c r="F41" s="34" t="n">
        <v>113286.66</v>
      </c>
      <c r="G41" s="33" t="n"/>
      <c r="H41" s="33" t="inlineStr">
        <is>
          <t>AGGETNET - 385</t>
        </is>
      </c>
      <c r="I41" s="34" t="n">
        <v>0</v>
      </c>
      <c r="J41" s="33" t="n">
        <v>0</v>
      </c>
      <c r="K41" s="35" t="inlineStr">
        <is>
          <t>EXACTO</t>
        </is>
      </c>
      <c r="L41" s="33" t="inlineStr">
        <is>
          <t>CONCILIADO</t>
        </is>
      </c>
      <c r="M41" s="33" t="n"/>
    </row>
    <row r="42">
      <c r="A42" s="32" t="n">
        <v>46086</v>
      </c>
      <c r="B42" s="33" t="n"/>
      <c r="C42" s="34" t="n">
        <v>44232</v>
      </c>
      <c r="D42" s="33" t="inlineStr">
        <is>
          <t>Transferencia recibida</t>
        </is>
      </c>
      <c r="E42" s="32" t="n">
        <v>46086</v>
      </c>
      <c r="F42" s="34" t="n">
        <v>44232</v>
      </c>
      <c r="G42" s="33" t="n"/>
      <c r="H42" s="33" t="inlineStr">
        <is>
          <t>MOVFONDOS - 7347</t>
        </is>
      </c>
      <c r="I42" s="34" t="n">
        <v>0</v>
      </c>
      <c r="J42" s="33" t="n">
        <v>0</v>
      </c>
      <c r="K42" s="35" t="inlineStr">
        <is>
          <t>EXACTO</t>
        </is>
      </c>
      <c r="L42" s="33" t="inlineStr">
        <is>
          <t>CONCILIADO</t>
        </is>
      </c>
      <c r="M42" s="33" t="n"/>
    </row>
    <row r="43">
      <c r="A43" s="32" t="n">
        <v>46086</v>
      </c>
      <c r="B43" s="33" t="n"/>
      <c r="C43" s="34" t="n">
        <v>621363.6</v>
      </c>
      <c r="D43" s="33" t="inlineStr">
        <is>
          <t>Transferencia recibida</t>
        </is>
      </c>
      <c r="E43" s="32" t="n">
        <v>46086</v>
      </c>
      <c r="F43" s="34" t="n">
        <v>621363.6</v>
      </c>
      <c r="G43" s="33" t="n"/>
      <c r="H43" s="33" t="inlineStr">
        <is>
          <t>MOVFONDOS - 7352</t>
        </is>
      </c>
      <c r="I43" s="34" t="n">
        <v>0</v>
      </c>
      <c r="J43" s="33" t="n">
        <v>0</v>
      </c>
      <c r="K43" s="35" t="inlineStr">
        <is>
          <t>EXACTO</t>
        </is>
      </c>
      <c r="L43" s="33" t="inlineStr">
        <is>
          <t>CONCILIADO</t>
        </is>
      </c>
      <c r="M43" s="33" t="n"/>
    </row>
    <row r="44">
      <c r="A44" s="32" t="n">
        <v>46086</v>
      </c>
      <c r="B44" s="33" t="n"/>
      <c r="C44" s="34" t="n">
        <v>1000000</v>
      </c>
      <c r="D44" s="33" t="inlineStr">
        <is>
          <t>Transf recibida cvu mismo titular</t>
        </is>
      </c>
      <c r="E44" s="32" t="n">
        <v>46086</v>
      </c>
      <c r="F44" s="33" t="n"/>
      <c r="G44" s="34" t="n">
        <v>1000000</v>
      </c>
      <c r="H44" s="33" t="inlineStr">
        <is>
          <t>PAGO - 2954</t>
        </is>
      </c>
      <c r="I44" s="34" t="n">
        <v>0</v>
      </c>
      <c r="J44" s="33" t="n">
        <v>0</v>
      </c>
      <c r="K44" s="35" t="inlineStr">
        <is>
          <t>EXACTO</t>
        </is>
      </c>
      <c r="L44" s="33" t="inlineStr">
        <is>
          <t>CONCILIADO</t>
        </is>
      </c>
      <c r="M44" s="33" t="n"/>
    </row>
    <row r="45">
      <c r="A45" s="32" t="n">
        <v>46086</v>
      </c>
      <c r="B45" s="34" t="n">
        <v>586850</v>
      </c>
      <c r="C45" s="33" t="n"/>
      <c r="D45" s="33" t="inlineStr">
        <is>
          <t>Debito transf. online banking emp</t>
        </is>
      </c>
      <c r="E45" s="32" t="n">
        <v>46086</v>
      </c>
      <c r="F45" s="33" t="n"/>
      <c r="G45" s="34" t="n">
        <v>586850</v>
      </c>
      <c r="H45" s="33" t="inlineStr">
        <is>
          <t>PAGO - 2956</t>
        </is>
      </c>
      <c r="I45" s="34" t="n">
        <v>0</v>
      </c>
      <c r="J45" s="33" t="n">
        <v>0</v>
      </c>
      <c r="K45" s="35" t="inlineStr">
        <is>
          <t>EXACTO</t>
        </is>
      </c>
      <c r="L45" s="33" t="inlineStr">
        <is>
          <t>CONCILIADO</t>
        </is>
      </c>
      <c r="M45" s="33" t="n"/>
    </row>
    <row r="46">
      <c r="A46" s="32" t="n">
        <v>46086</v>
      </c>
      <c r="B46" s="34" t="n">
        <v>18326</v>
      </c>
      <c r="C46" s="33" t="n"/>
      <c r="D46" s="33" t="inlineStr">
        <is>
          <t>Transferencia realizada</t>
        </is>
      </c>
      <c r="E46" s="32" t="n">
        <v>46086</v>
      </c>
      <c r="F46" s="33" t="n"/>
      <c r="G46" s="34" t="n">
        <v>18326</v>
      </c>
      <c r="H46" s="33" t="inlineStr">
        <is>
          <t>PAGO - 2957</t>
        </is>
      </c>
      <c r="I46" s="34" t="n">
        <v>0</v>
      </c>
      <c r="J46" s="33" t="n">
        <v>0</v>
      </c>
      <c r="K46" s="35" t="inlineStr">
        <is>
          <t>EXACTO</t>
        </is>
      </c>
      <c r="L46" s="33" t="inlineStr">
        <is>
          <t>CONCILIADO</t>
        </is>
      </c>
      <c r="M46" s="33" t="n"/>
    </row>
    <row r="47">
      <c r="A47" s="32" t="n">
        <v>46086</v>
      </c>
      <c r="B47" s="34" t="n">
        <v>138293.61</v>
      </c>
      <c r="C47" s="33" t="n"/>
      <c r="D47" s="33" t="inlineStr">
        <is>
          <t>Debito transf. online banking emp</t>
        </is>
      </c>
      <c r="E47" s="32" t="n">
        <v>46086</v>
      </c>
      <c r="F47" s="33" t="n"/>
      <c r="G47" s="34" t="n">
        <v>138293.61</v>
      </c>
      <c r="H47" s="33" t="inlineStr">
        <is>
          <t>PAGO - 2946</t>
        </is>
      </c>
      <c r="I47" s="34" t="n">
        <v>0</v>
      </c>
      <c r="J47" s="33" t="n">
        <v>0</v>
      </c>
      <c r="K47" s="35" t="inlineStr">
        <is>
          <t>EXACTO</t>
        </is>
      </c>
      <c r="L47" s="33" t="inlineStr">
        <is>
          <t>CONCILIADO</t>
        </is>
      </c>
      <c r="M47" s="33" t="n"/>
    </row>
    <row r="48">
      <c r="A48" s="32" t="n">
        <v>46086</v>
      </c>
      <c r="B48" s="34" t="n">
        <v>116107.55</v>
      </c>
      <c r="C48" s="33" t="n"/>
      <c r="D48" s="33" t="inlineStr">
        <is>
          <t>Transferencia realizada</t>
        </is>
      </c>
      <c r="E48" s="32" t="n">
        <v>46086</v>
      </c>
      <c r="F48" s="33" t="n"/>
      <c r="G48" s="34" t="n">
        <v>116107.55</v>
      </c>
      <c r="H48" s="33" t="inlineStr">
        <is>
          <t>PAGO - 2945</t>
        </is>
      </c>
      <c r="I48" s="34" t="n">
        <v>0</v>
      </c>
      <c r="J48" s="33" t="n">
        <v>0</v>
      </c>
      <c r="K48" s="35" t="inlineStr">
        <is>
          <t>EXACTO</t>
        </is>
      </c>
      <c r="L48" s="33" t="inlineStr">
        <is>
          <t>CONCILIADO</t>
        </is>
      </c>
      <c r="M48" s="33" t="n"/>
    </row>
    <row r="49">
      <c r="A49" s="32" t="n">
        <v>46086</v>
      </c>
      <c r="B49" s="34" t="n">
        <v>1000000</v>
      </c>
      <c r="C49" s="33" t="n"/>
      <c r="D49" s="33" t="inlineStr">
        <is>
          <t>Transferencia realizada</t>
        </is>
      </c>
      <c r="E49" s="32" t="n">
        <v>46086</v>
      </c>
      <c r="F49" s="34" t="n">
        <v>1000000</v>
      </c>
      <c r="G49" s="33" t="n"/>
      <c r="H49" s="33" t="inlineStr">
        <is>
          <t>MOVFONDOS - 7351</t>
        </is>
      </c>
      <c r="I49" s="34" t="n">
        <v>0</v>
      </c>
      <c r="J49" s="33" t="n">
        <v>0</v>
      </c>
      <c r="K49" s="35" t="inlineStr">
        <is>
          <t>EXACTO</t>
        </is>
      </c>
      <c r="L49" s="33" t="inlineStr">
        <is>
          <t>CONCILIADO</t>
        </is>
      </c>
      <c r="M49" s="33" t="n"/>
    </row>
    <row r="50">
      <c r="A50" s="32" t="n">
        <v>46086</v>
      </c>
      <c r="B50" s="34" t="n">
        <v>934228.37</v>
      </c>
      <c r="C50" s="33" t="n"/>
      <c r="D50" s="33" t="inlineStr">
        <is>
          <t>Debito transf. online banking emp</t>
        </is>
      </c>
      <c r="E50" s="32" t="n">
        <v>46086</v>
      </c>
      <c r="F50" s="33" t="n"/>
      <c r="G50" s="34" t="n">
        <v>934228.37</v>
      </c>
      <c r="H50" s="33" t="inlineStr">
        <is>
          <t>PAGO - 2953</t>
        </is>
      </c>
      <c r="I50" s="34" t="n">
        <v>0</v>
      </c>
      <c r="J50" s="33" t="n">
        <v>0</v>
      </c>
      <c r="K50" s="35" t="inlineStr">
        <is>
          <t>EXACTO</t>
        </is>
      </c>
      <c r="L50" s="33" t="inlineStr">
        <is>
          <t>CONCILIADO</t>
        </is>
      </c>
      <c r="M50" s="33" t="n"/>
    </row>
    <row r="51">
      <c r="A51" s="32" t="n">
        <v>46086</v>
      </c>
      <c r="B51" s="34" t="n">
        <v>690000</v>
      </c>
      <c r="C51" s="33" t="n"/>
      <c r="D51" s="33" t="inlineStr">
        <is>
          <t>Debito transf. online banking emp</t>
        </is>
      </c>
      <c r="E51" s="32" t="n">
        <v>46086</v>
      </c>
      <c r="F51" s="33" t="n"/>
      <c r="G51" s="34" t="n">
        <v>690000</v>
      </c>
      <c r="H51" s="33" t="inlineStr">
        <is>
          <t>PAGO - 2952</t>
        </is>
      </c>
      <c r="I51" s="34" t="n">
        <v>0</v>
      </c>
      <c r="J51" s="33" t="n">
        <v>0</v>
      </c>
      <c r="K51" s="35" t="inlineStr">
        <is>
          <t>EXACTO</t>
        </is>
      </c>
      <c r="L51" s="33" t="inlineStr">
        <is>
          <t>CONCILIADO</t>
        </is>
      </c>
      <c r="M51" s="33" t="n"/>
    </row>
    <row r="52">
      <c r="A52" s="32" t="n">
        <v>46086</v>
      </c>
      <c r="B52" s="34" t="n">
        <v>18086.63</v>
      </c>
      <c r="C52" s="33" t="n"/>
      <c r="D52" s="33" t="inlineStr">
        <is>
          <t>Transferencia realizada</t>
        </is>
      </c>
      <c r="E52" s="32" t="n">
        <v>46086</v>
      </c>
      <c r="F52" s="33" t="n"/>
      <c r="G52" s="34" t="n">
        <v>18086.63</v>
      </c>
      <c r="H52" s="33" t="inlineStr">
        <is>
          <t>PAGO - 2951</t>
        </is>
      </c>
      <c r="I52" s="34" t="n">
        <v>0</v>
      </c>
      <c r="J52" s="33" t="n">
        <v>0</v>
      </c>
      <c r="K52" s="35" t="inlineStr">
        <is>
          <t>EXACTO</t>
        </is>
      </c>
      <c r="L52" s="33" t="inlineStr">
        <is>
          <t>CONCILIADO</t>
        </is>
      </c>
      <c r="M52" s="33" t="n"/>
    </row>
    <row r="53">
      <c r="A53" s="32" t="n">
        <v>46086</v>
      </c>
      <c r="B53" s="34" t="n">
        <v>532160.58</v>
      </c>
      <c r="C53" s="33" t="n"/>
      <c r="D53" s="33" t="inlineStr">
        <is>
          <t>Transferencia realizada</t>
        </is>
      </c>
      <c r="E53" s="32" t="n">
        <v>46086</v>
      </c>
      <c r="F53" s="33" t="n"/>
      <c r="G53" s="34" t="n">
        <v>532160.58</v>
      </c>
      <c r="H53" s="33" t="inlineStr">
        <is>
          <t>PAGO - 2950</t>
        </is>
      </c>
      <c r="I53" s="34" t="n">
        <v>0</v>
      </c>
      <c r="J53" s="33" t="n">
        <v>0</v>
      </c>
      <c r="K53" s="35" t="inlineStr">
        <is>
          <t>EXACTO</t>
        </is>
      </c>
      <c r="L53" s="33" t="inlineStr">
        <is>
          <t>CONCILIADO</t>
        </is>
      </c>
      <c r="M53" s="33" t="n"/>
    </row>
    <row r="54">
      <c r="A54" s="32" t="n">
        <v>46086</v>
      </c>
      <c r="B54" s="33" t="n"/>
      <c r="C54" s="34" t="n">
        <v>1071148</v>
      </c>
      <c r="D54" s="33" t="inlineStr">
        <is>
          <t>Transferencia realizada</t>
        </is>
      </c>
      <c r="E54" s="32" t="n">
        <v>46086</v>
      </c>
      <c r="F54" s="33" t="n"/>
      <c r="G54" s="34" t="n">
        <v>1071148</v>
      </c>
      <c r="H54" s="33" t="inlineStr">
        <is>
          <t>PAGO - 2949</t>
        </is>
      </c>
      <c r="I54" s="34" t="n">
        <v>0</v>
      </c>
      <c r="J54" s="33" t="n">
        <v>0</v>
      </c>
      <c r="K54" s="35" t="inlineStr">
        <is>
          <t>EXACTO</t>
        </is>
      </c>
      <c r="L54" s="33" t="inlineStr">
        <is>
          <t>CONCILIADO</t>
        </is>
      </c>
      <c r="M54" s="33" t="n"/>
    </row>
    <row r="55">
      <c r="A55" s="32" t="n">
        <v>46086</v>
      </c>
      <c r="B55" s="33" t="n"/>
      <c r="C55" s="34" t="n">
        <v>800000</v>
      </c>
      <c r="D55" s="33" t="inlineStr">
        <is>
          <t>Transferencia realizada</t>
        </is>
      </c>
      <c r="E55" s="32" t="n">
        <v>46086</v>
      </c>
      <c r="F55" s="33" t="n"/>
      <c r="G55" s="34" t="n">
        <v>800000</v>
      </c>
      <c r="H55" s="33" t="inlineStr">
        <is>
          <t>PAGO - 2947</t>
        </is>
      </c>
      <c r="I55" s="34" t="n">
        <v>0</v>
      </c>
      <c r="J55" s="33" t="n">
        <v>0</v>
      </c>
      <c r="K55" s="35" t="inlineStr">
        <is>
          <t>EXACTO</t>
        </is>
      </c>
      <c r="L55" s="33" t="inlineStr">
        <is>
          <t>CONCILIADO</t>
        </is>
      </c>
      <c r="M55" s="33" t="n"/>
    </row>
    <row r="56">
      <c r="A56" s="32" t="n">
        <v>46086</v>
      </c>
      <c r="B56" s="34" t="n">
        <v>1593833.47</v>
      </c>
      <c r="C56" s="33" t="n"/>
      <c r="D56" s="33" t="inlineStr">
        <is>
          <t>Pago a proveedores recibido</t>
        </is>
      </c>
      <c r="E56" s="32" t="n">
        <v>46086</v>
      </c>
      <c r="F56" s="34" t="n">
        <v>1593833.47</v>
      </c>
      <c r="G56" s="33" t="n"/>
      <c r="H56" s="33" t="inlineStr">
        <is>
          <t>MOVFONDOS - 7358</t>
        </is>
      </c>
      <c r="I56" s="34" t="n">
        <v>0</v>
      </c>
      <c r="J56" s="33" t="n">
        <v>0</v>
      </c>
      <c r="K56" s="35" t="inlineStr">
        <is>
          <t>EXACTO</t>
        </is>
      </c>
      <c r="L56" s="33" t="inlineStr">
        <is>
          <t>CONCILIADO</t>
        </is>
      </c>
      <c r="M56" s="33" t="n"/>
    </row>
    <row r="57">
      <c r="A57" s="32" t="n">
        <v>46086</v>
      </c>
      <c r="B57" s="33" t="n"/>
      <c r="C57" s="34" t="n">
        <v>2085341</v>
      </c>
      <c r="D57" s="33" t="inlineStr">
        <is>
          <t>Credito transf online banking emp</t>
        </is>
      </c>
      <c r="E57" s="32" t="n">
        <v>46086</v>
      </c>
      <c r="F57" s="34" t="n">
        <v>2085341</v>
      </c>
      <c r="G57" s="33" t="n"/>
      <c r="H57" s="33" t="inlineStr">
        <is>
          <t>MOVFONDOS - 7357</t>
        </is>
      </c>
      <c r="I57" s="34" t="n">
        <v>0</v>
      </c>
      <c r="J57" s="33" t="n">
        <v>0</v>
      </c>
      <c r="K57" s="35" t="inlineStr">
        <is>
          <t>EXACTO</t>
        </is>
      </c>
      <c r="L57" s="33" t="inlineStr">
        <is>
          <t>CONCILIADO</t>
        </is>
      </c>
      <c r="M57" s="33" t="n"/>
    </row>
    <row r="58">
      <c r="A58" s="32" t="n">
        <v>46086</v>
      </c>
      <c r="B58" s="33" t="n"/>
      <c r="C58" s="34" t="n">
        <v>4968.94</v>
      </c>
      <c r="D58" s="33" t="inlineStr">
        <is>
          <t>Transferencia recibida</t>
        </is>
      </c>
      <c r="E58" s="32" t="n">
        <v>46086</v>
      </c>
      <c r="F58" s="34" t="n">
        <v>4968.94</v>
      </c>
      <c r="G58" s="33" t="n"/>
      <c r="H58" s="33" t="inlineStr">
        <is>
          <t>MOVFONDOS - 7356</t>
        </is>
      </c>
      <c r="I58" s="34" t="n">
        <v>0</v>
      </c>
      <c r="J58" s="33" t="n">
        <v>0</v>
      </c>
      <c r="K58" s="35" t="inlineStr">
        <is>
          <t>EXACTO</t>
        </is>
      </c>
      <c r="L58" s="33" t="inlineStr">
        <is>
          <t>CONCILIADO</t>
        </is>
      </c>
      <c r="M58" s="33" t="n"/>
    </row>
    <row r="59">
      <c r="A59" s="32" t="n">
        <v>46086</v>
      </c>
      <c r="B59" s="34" t="n">
        <v>1249500</v>
      </c>
      <c r="C59" s="33" t="n"/>
      <c r="D59" s="33" t="inlineStr">
        <is>
          <t>Pago de honorarios</t>
        </is>
      </c>
      <c r="E59" s="32" t="n">
        <v>46086</v>
      </c>
      <c r="F59" s="33" t="n"/>
      <c r="G59" s="34" t="n">
        <v>1249500</v>
      </c>
      <c r="H59" s="33" t="inlineStr">
        <is>
          <t>PAGO - 2955</t>
        </is>
      </c>
      <c r="I59" s="34" t="n">
        <v>0</v>
      </c>
      <c r="J59" s="33" t="n">
        <v>0</v>
      </c>
      <c r="K59" s="35" t="inlineStr">
        <is>
          <t>EXACTO</t>
        </is>
      </c>
      <c r="L59" s="33" t="inlineStr">
        <is>
          <t>CONCILIADO</t>
        </is>
      </c>
      <c r="M59" s="33" t="n"/>
    </row>
    <row r="60">
      <c r="A60" s="32" t="n">
        <v>46087</v>
      </c>
      <c r="B60" s="33" t="n"/>
      <c r="C60" s="34" t="n">
        <v>29445.21</v>
      </c>
      <c r="D60" s="33" t="inlineStr">
        <is>
          <t>Pago comercios getnet nro.liq.</t>
        </is>
      </c>
      <c r="E60" s="32" t="n">
        <v>46087</v>
      </c>
      <c r="F60" s="34" t="n">
        <v>29445.21</v>
      </c>
      <c r="G60" s="33" t="n"/>
      <c r="H60" s="33" t="inlineStr">
        <is>
          <t>AGGETNET - 386</t>
        </is>
      </c>
      <c r="I60" s="34" t="n">
        <v>0</v>
      </c>
      <c r="J60" s="33" t="n">
        <v>0</v>
      </c>
      <c r="K60" s="35" t="inlineStr">
        <is>
          <t>EXACTO</t>
        </is>
      </c>
      <c r="L60" s="33" t="inlineStr">
        <is>
          <t>CONCILIADO</t>
        </is>
      </c>
      <c r="M60" s="33" t="n"/>
    </row>
    <row r="61">
      <c r="A61" s="32" t="n">
        <v>46087</v>
      </c>
      <c r="B61" s="33" t="n"/>
      <c r="C61" s="34" t="n">
        <v>65385.6</v>
      </c>
      <c r="D61" s="33" t="inlineStr">
        <is>
          <t>Pago a proveedores recibido</t>
        </is>
      </c>
      <c r="E61" s="32" t="n">
        <v>46087</v>
      </c>
      <c r="F61" s="34" t="n">
        <v>65385.6</v>
      </c>
      <c r="G61" s="33" t="n"/>
      <c r="H61" s="33" t="inlineStr">
        <is>
          <t>MOVFONDOS - 7359</t>
        </is>
      </c>
      <c r="I61" s="34" t="n">
        <v>0</v>
      </c>
      <c r="J61" s="33" t="n">
        <v>0</v>
      </c>
      <c r="K61" s="35" t="inlineStr">
        <is>
          <t>EXACTO</t>
        </is>
      </c>
      <c r="L61" s="33" t="inlineStr">
        <is>
          <t>CONCILIADO</t>
        </is>
      </c>
      <c r="M61" s="33" t="n"/>
    </row>
    <row r="62">
      <c r="A62" s="32" t="n">
        <v>46087</v>
      </c>
      <c r="B62" s="33" t="n"/>
      <c r="C62" s="34" t="n">
        <v>692835</v>
      </c>
      <c r="D62" s="33" t="inlineStr">
        <is>
          <t>Transf recibida cvu dif titular</t>
        </is>
      </c>
      <c r="E62" s="32" t="n">
        <v>46087</v>
      </c>
      <c r="F62" s="34" t="n">
        <v>692835</v>
      </c>
      <c r="G62" s="33" t="n"/>
      <c r="H62" s="33" t="inlineStr">
        <is>
          <t>MOVFONDOS - 7362</t>
        </is>
      </c>
      <c r="I62" s="34" t="n">
        <v>0</v>
      </c>
      <c r="J62" s="33" t="n">
        <v>0</v>
      </c>
      <c r="K62" s="35" t="inlineStr">
        <is>
          <t>EXACTO</t>
        </is>
      </c>
      <c r="L62" s="33" t="inlineStr">
        <is>
          <t>CONCILIADO</t>
        </is>
      </c>
      <c r="M62" s="33" t="n"/>
    </row>
    <row r="63">
      <c r="A63" s="32" t="n">
        <v>46087</v>
      </c>
      <c r="B63" s="33" t="n"/>
      <c r="C63" s="34" t="n">
        <v>130791.44</v>
      </c>
      <c r="D63" s="33" t="inlineStr">
        <is>
          <t>Pago comercios getnet nro.liq.</t>
        </is>
      </c>
      <c r="E63" s="32" t="n">
        <v>46087</v>
      </c>
      <c r="F63" s="34" t="n">
        <v>130791.44</v>
      </c>
      <c r="G63" s="33" t="n"/>
      <c r="H63" s="33" t="inlineStr">
        <is>
          <t>AGGETNET - 386</t>
        </is>
      </c>
      <c r="I63" s="34" t="n">
        <v>0</v>
      </c>
      <c r="J63" s="33" t="n">
        <v>0</v>
      </c>
      <c r="K63" s="35" t="inlineStr">
        <is>
          <t>EXACTO</t>
        </is>
      </c>
      <c r="L63" s="33" t="inlineStr">
        <is>
          <t>CONCILIADO</t>
        </is>
      </c>
      <c r="M63" s="33" t="n"/>
    </row>
    <row r="64">
      <c r="A64" s="32" t="n">
        <v>46087</v>
      </c>
      <c r="B64" s="33" t="n"/>
      <c r="C64" s="34" t="n">
        <v>14984.42</v>
      </c>
      <c r="D64" s="33" t="inlineStr">
        <is>
          <t>Transferencia recibida</t>
        </is>
      </c>
      <c r="E64" s="32" t="n">
        <v>46087</v>
      </c>
      <c r="F64" s="34" t="n">
        <v>14984.42</v>
      </c>
      <c r="G64" s="33" t="n"/>
      <c r="H64" s="33" t="inlineStr">
        <is>
          <t>MOVFONDOS - 7363</t>
        </is>
      </c>
      <c r="I64" s="34" t="n">
        <v>0</v>
      </c>
      <c r="J64" s="33" t="n">
        <v>0</v>
      </c>
      <c r="K64" s="35" t="inlineStr">
        <is>
          <t>EXACTO</t>
        </is>
      </c>
      <c r="L64" s="33" t="inlineStr">
        <is>
          <t>CONCILIADO</t>
        </is>
      </c>
      <c r="M64" s="33" t="n"/>
    </row>
    <row r="65">
      <c r="A65" s="32" t="n">
        <v>46087</v>
      </c>
      <c r="B65" s="33" t="n"/>
      <c r="C65" s="34" t="n">
        <v>17535.62</v>
      </c>
      <c r="D65" s="33" t="inlineStr">
        <is>
          <t>Transf recibida cvu dif titular</t>
        </is>
      </c>
      <c r="E65" s="32" t="n">
        <v>46087</v>
      </c>
      <c r="F65" s="34" t="n">
        <v>17535.62</v>
      </c>
      <c r="G65" s="33" t="n"/>
      <c r="H65" s="33" t="inlineStr">
        <is>
          <t>MOVFONDOS - 7364</t>
        </is>
      </c>
      <c r="I65" s="34" t="n">
        <v>0</v>
      </c>
      <c r="J65" s="33" t="n">
        <v>0</v>
      </c>
      <c r="K65" s="35" t="inlineStr">
        <is>
          <t>EXACTO</t>
        </is>
      </c>
      <c r="L65" s="33" t="inlineStr">
        <is>
          <t>CONCILIADO</t>
        </is>
      </c>
      <c r="M65" s="33" t="n"/>
    </row>
    <row r="66">
      <c r="A66" s="32" t="n">
        <v>46087</v>
      </c>
      <c r="B66" s="33" t="n"/>
      <c r="C66" s="34" t="n">
        <v>686920.15</v>
      </c>
      <c r="D66" s="33" t="inlineStr">
        <is>
          <t>Pago a proveedores recibido</t>
        </is>
      </c>
      <c r="E66" s="32" t="n">
        <v>46087</v>
      </c>
      <c r="F66" s="34" t="n">
        <v>686920.15</v>
      </c>
      <c r="G66" s="33" t="n"/>
      <c r="H66" s="33" t="inlineStr">
        <is>
          <t>MOVFONDOS - 7372</t>
        </is>
      </c>
      <c r="I66" s="34" t="n">
        <v>0</v>
      </c>
      <c r="J66" s="33" t="n">
        <v>0</v>
      </c>
      <c r="K66" s="35" t="inlineStr">
        <is>
          <t>EXACTO</t>
        </is>
      </c>
      <c r="L66" s="33" t="inlineStr">
        <is>
          <t>CONCILIADO</t>
        </is>
      </c>
      <c r="M66" s="33" t="n"/>
    </row>
    <row r="67">
      <c r="A67" s="32" t="n">
        <v>46087</v>
      </c>
      <c r="B67" s="33" t="n"/>
      <c r="C67" s="34" t="n">
        <v>33984.64</v>
      </c>
      <c r="D67" s="33" t="inlineStr">
        <is>
          <t>Transferencia recibida</t>
        </is>
      </c>
      <c r="E67" s="32" t="n">
        <v>46087</v>
      </c>
      <c r="F67" s="34" t="n">
        <v>33984.64</v>
      </c>
      <c r="G67" s="33" t="n"/>
      <c r="H67" s="33" t="inlineStr">
        <is>
          <t>MOVFONDOS - 7373</t>
        </is>
      </c>
      <c r="I67" s="34" t="n">
        <v>0</v>
      </c>
      <c r="J67" s="33" t="n">
        <v>0</v>
      </c>
      <c r="K67" s="35" t="inlineStr">
        <is>
          <t>EXACTO</t>
        </is>
      </c>
      <c r="L67" s="33" t="inlineStr">
        <is>
          <t>CONCILIADO</t>
        </is>
      </c>
      <c r="M67" s="33" t="n"/>
    </row>
    <row r="68">
      <c r="A68" s="32" t="n">
        <v>46087</v>
      </c>
      <c r="B68" s="33" t="n"/>
      <c r="C68" s="34" t="n">
        <v>11188.66</v>
      </c>
      <c r="D68" s="33" t="inlineStr">
        <is>
          <t>Transferencia recibida</t>
        </is>
      </c>
      <c r="E68" s="32" t="n">
        <v>46087</v>
      </c>
      <c r="F68" s="34" t="n">
        <v>11188.66</v>
      </c>
      <c r="G68" s="33" t="n"/>
      <c r="H68" s="33" t="inlineStr">
        <is>
          <t>MOVFONDOS - 7374</t>
        </is>
      </c>
      <c r="I68" s="34" t="n">
        <v>0</v>
      </c>
      <c r="J68" s="33" t="n">
        <v>0</v>
      </c>
      <c r="K68" s="35" t="inlineStr">
        <is>
          <t>EXACTO</t>
        </is>
      </c>
      <c r="L68" s="33" t="inlineStr">
        <is>
          <t>CONCILIADO</t>
        </is>
      </c>
      <c r="M68" s="33" t="n"/>
    </row>
    <row r="69">
      <c r="A69" s="32" t="n">
        <v>46087</v>
      </c>
      <c r="B69" s="33" t="n"/>
      <c r="C69" s="34" t="n">
        <v>12069.75</v>
      </c>
      <c r="D69" s="33" t="inlineStr">
        <is>
          <t>Transferencia recibida</t>
        </is>
      </c>
      <c r="E69" s="32" t="n">
        <v>46087</v>
      </c>
      <c r="F69" s="34" t="n">
        <v>12069.75</v>
      </c>
      <c r="G69" s="33" t="n"/>
      <c r="H69" s="33" t="inlineStr">
        <is>
          <t>MOVFONDOS - 7391</t>
        </is>
      </c>
      <c r="I69" s="34" t="n">
        <v>0</v>
      </c>
      <c r="J69" s="33" t="n">
        <v>0</v>
      </c>
      <c r="K69" s="35" t="inlineStr">
        <is>
          <t>EXACTO</t>
        </is>
      </c>
      <c r="L69" s="33" t="inlineStr">
        <is>
          <t>CONCILIADO</t>
        </is>
      </c>
      <c r="M69" s="33" t="n"/>
    </row>
    <row r="70">
      <c r="A70" s="32" t="n">
        <v>46087</v>
      </c>
      <c r="B70" s="33" t="n"/>
      <c r="C70" s="34" t="n">
        <v>28606.25</v>
      </c>
      <c r="D70" s="33" t="inlineStr">
        <is>
          <t>Credito transf online banking emp</t>
        </is>
      </c>
      <c r="E70" s="32" t="n">
        <v>46087</v>
      </c>
      <c r="F70" s="34" t="n">
        <v>28606.25</v>
      </c>
      <c r="G70" s="33" t="n"/>
      <c r="H70" s="33" t="inlineStr">
        <is>
          <t>MOVFONDOS - 7390</t>
        </is>
      </c>
      <c r="I70" s="34" t="n">
        <v>0</v>
      </c>
      <c r="J70" s="33" t="n">
        <v>0</v>
      </c>
      <c r="K70" s="35" t="inlineStr">
        <is>
          <t>EXACTO</t>
        </is>
      </c>
      <c r="L70" s="33" t="inlineStr">
        <is>
          <t>CONCILIADO</t>
        </is>
      </c>
      <c r="M70" s="33" t="n"/>
    </row>
    <row r="71">
      <c r="A71" s="32" t="n">
        <v>46087</v>
      </c>
      <c r="B71" s="33" t="n"/>
      <c r="C71" s="34" t="n">
        <v>26218.89</v>
      </c>
      <c r="D71" s="33" t="inlineStr">
        <is>
          <t>Transferencia recibida</t>
        </is>
      </c>
      <c r="E71" s="32" t="n">
        <v>46087</v>
      </c>
      <c r="F71" s="34" t="n">
        <v>26218.89</v>
      </c>
      <c r="G71" s="33" t="n"/>
      <c r="H71" s="33" t="inlineStr">
        <is>
          <t>MOVFONDOS - 7389</t>
        </is>
      </c>
      <c r="I71" s="34" t="n">
        <v>0</v>
      </c>
      <c r="J71" s="33" t="n">
        <v>0</v>
      </c>
      <c r="K71" s="35" t="inlineStr">
        <is>
          <t>EXACTO</t>
        </is>
      </c>
      <c r="L71" s="33" t="inlineStr">
        <is>
          <t>CONCILIADO</t>
        </is>
      </c>
      <c r="M71" s="33" t="n"/>
    </row>
    <row r="72">
      <c r="A72" s="32" t="n">
        <v>46087</v>
      </c>
      <c r="B72" s="33" t="n"/>
      <c r="C72" s="34" t="n">
        <v>15080</v>
      </c>
      <c r="D72" s="33" t="inlineStr">
        <is>
          <t>Transferencia recibida</t>
        </is>
      </c>
      <c r="E72" s="32" t="n">
        <v>46087</v>
      </c>
      <c r="F72" s="34" t="n">
        <v>15080</v>
      </c>
      <c r="G72" s="33" t="n"/>
      <c r="H72" s="33" t="inlineStr">
        <is>
          <t>MOVFONDOS - 7388</t>
        </is>
      </c>
      <c r="I72" s="34" t="n">
        <v>0</v>
      </c>
      <c r="J72" s="33" t="n">
        <v>0</v>
      </c>
      <c r="K72" s="35" t="inlineStr">
        <is>
          <t>EXACTO</t>
        </is>
      </c>
      <c r="L72" s="33" t="inlineStr">
        <is>
          <t>CONCILIADO</t>
        </is>
      </c>
      <c r="M72" s="33" t="n"/>
    </row>
    <row r="73">
      <c r="A73" s="32" t="n">
        <v>46087</v>
      </c>
      <c r="B73" s="33" t="n"/>
      <c r="C73" s="34" t="n">
        <v>2051329.44</v>
      </c>
      <c r="D73" s="33" t="inlineStr">
        <is>
          <t>Transf minorista recibida snp</t>
        </is>
      </c>
      <c r="E73" s="32" t="n">
        <v>46087</v>
      </c>
      <c r="F73" s="34" t="n">
        <v>2051329.44</v>
      </c>
      <c r="G73" s="33" t="n"/>
      <c r="H73" s="33" t="inlineStr">
        <is>
          <t>MOVFONDOS - 7387</t>
        </is>
      </c>
      <c r="I73" s="34" t="n">
        <v>0</v>
      </c>
      <c r="J73" s="33" t="n">
        <v>0</v>
      </c>
      <c r="K73" s="35" t="inlineStr">
        <is>
          <t>EXACTO</t>
        </is>
      </c>
      <c r="L73" s="33" t="inlineStr">
        <is>
          <t>CONCILIADO</t>
        </is>
      </c>
      <c r="M73" s="33" t="n"/>
    </row>
    <row r="74">
      <c r="A74" s="32" t="n">
        <v>46088</v>
      </c>
      <c r="B74" s="33" t="n"/>
      <c r="C74" s="34" t="n">
        <v>11110.9</v>
      </c>
      <c r="D74" s="33" t="inlineStr">
        <is>
          <t>Transferencia recibida</t>
        </is>
      </c>
      <c r="E74" s="32" t="n">
        <v>46088</v>
      </c>
      <c r="F74" s="34" t="n">
        <v>11110.9</v>
      </c>
      <c r="G74" s="33" t="n"/>
      <c r="H74" s="33" t="inlineStr">
        <is>
          <t>MOVFONDOS - 7385</t>
        </is>
      </c>
      <c r="I74" s="34" t="n">
        <v>0</v>
      </c>
      <c r="J74" s="33" t="n">
        <v>0</v>
      </c>
      <c r="K74" s="35" t="inlineStr">
        <is>
          <t>EXACTO</t>
        </is>
      </c>
      <c r="L74" s="33" t="inlineStr">
        <is>
          <t>CONCILIADO</t>
        </is>
      </c>
      <c r="M74" s="33" t="n"/>
    </row>
    <row r="75">
      <c r="A75" s="32" t="n">
        <v>46089</v>
      </c>
      <c r="B75" s="33" t="n"/>
      <c r="C75" s="34" t="n">
        <v>9257.52</v>
      </c>
      <c r="D75" s="33" t="inlineStr">
        <is>
          <t>Transferencia ctas mobile banking</t>
        </is>
      </c>
      <c r="E75" s="32" t="n">
        <v>46089</v>
      </c>
      <c r="F75" s="34" t="n">
        <v>9257.52</v>
      </c>
      <c r="G75" s="33" t="n"/>
      <c r="H75" s="33" t="inlineStr">
        <is>
          <t>MOVFONDOS - 7386</t>
        </is>
      </c>
      <c r="I75" s="34" t="n">
        <v>0</v>
      </c>
      <c r="J75" s="33" t="n">
        <v>0</v>
      </c>
      <c r="K75" s="35" t="inlineStr">
        <is>
          <t>EXACTO</t>
        </is>
      </c>
      <c r="L75" s="33" t="inlineStr">
        <is>
          <t>CONCILIADO</t>
        </is>
      </c>
      <c r="M75" s="33" t="n"/>
    </row>
    <row r="76">
      <c r="A76" s="32" t="n">
        <v>46090</v>
      </c>
      <c r="B76" s="33" t="n"/>
      <c r="C76" s="34" t="n">
        <v>709282.98</v>
      </c>
      <c r="D76" s="33" t="inlineStr">
        <is>
          <t>Pago comercios getnet nro.liq.</t>
        </is>
      </c>
      <c r="E76" s="32" t="n">
        <v>46090</v>
      </c>
      <c r="F76" s="34" t="n">
        <v>709282.98</v>
      </c>
      <c r="G76" s="33" t="n"/>
      <c r="H76" s="33" t="inlineStr">
        <is>
          <t>AGGETNET - 387</t>
        </is>
      </c>
      <c r="I76" s="34" t="n">
        <v>0</v>
      </c>
      <c r="J76" s="33" t="n">
        <v>0</v>
      </c>
      <c r="K76" s="35" t="inlineStr">
        <is>
          <t>EXACTO</t>
        </is>
      </c>
      <c r="L76" s="33" t="inlineStr">
        <is>
          <t>CONCILIADO</t>
        </is>
      </c>
      <c r="M76" s="33" t="n"/>
    </row>
    <row r="77">
      <c r="A77" s="32" t="n">
        <v>46090</v>
      </c>
      <c r="B77" s="33" t="n"/>
      <c r="C77" s="34" t="n">
        <v>119664.46</v>
      </c>
      <c r="D77" s="33" t="inlineStr">
        <is>
          <t>Pago comercios getnet nro.liq.</t>
        </is>
      </c>
      <c r="E77" s="32" t="n">
        <v>46090</v>
      </c>
      <c r="F77" s="34" t="n">
        <v>119664.46</v>
      </c>
      <c r="G77" s="33" t="n"/>
      <c r="H77" s="33" t="inlineStr">
        <is>
          <t>AGGETNET - 387</t>
        </is>
      </c>
      <c r="I77" s="34" t="n">
        <v>0</v>
      </c>
      <c r="J77" s="33" t="n">
        <v>0</v>
      </c>
      <c r="K77" s="35" t="inlineStr">
        <is>
          <t>EXACTO</t>
        </is>
      </c>
      <c r="L77" s="33" t="inlineStr">
        <is>
          <t>CONCILIADO</t>
        </is>
      </c>
      <c r="M77" s="33" t="n"/>
    </row>
    <row r="78">
      <c r="A78" s="32" t="n">
        <v>46090</v>
      </c>
      <c r="B78" s="33" t="n"/>
      <c r="C78" s="34" t="n">
        <v>383868.6</v>
      </c>
      <c r="D78" s="33" t="inlineStr">
        <is>
          <t>Pago a proveedores recibido</t>
        </is>
      </c>
      <c r="E78" s="32" t="n">
        <v>46090</v>
      </c>
      <c r="F78" s="34" t="n">
        <v>383868.6</v>
      </c>
      <c r="G78" s="33" t="n"/>
      <c r="H78" s="33" t="inlineStr">
        <is>
          <t>MOVFONDOS - 7392</t>
        </is>
      </c>
      <c r="I78" s="34" t="n">
        <v>0</v>
      </c>
      <c r="J78" s="33" t="n">
        <v>0</v>
      </c>
      <c r="K78" s="35" t="inlineStr">
        <is>
          <t>EXACTO</t>
        </is>
      </c>
      <c r="L78" s="33" t="inlineStr">
        <is>
          <t>CONCILIADO</t>
        </is>
      </c>
      <c r="M78" s="33" t="n"/>
    </row>
    <row r="79">
      <c r="A79" s="32" t="n">
        <v>46090</v>
      </c>
      <c r="B79" s="33" t="n"/>
      <c r="C79" s="34" t="n">
        <v>26415466.68</v>
      </c>
      <c r="D79" s="33" t="inlineStr">
        <is>
          <t>Pago de servicios</t>
        </is>
      </c>
      <c r="E79" s="32" t="n">
        <v>46090</v>
      </c>
      <c r="F79" s="33" t="n"/>
      <c r="G79" s="34" t="n">
        <v>26415466.68</v>
      </c>
      <c r="H79" s="33" t="inlineStr">
        <is>
          <t>MOVFONDOS - 7393</t>
        </is>
      </c>
      <c r="I79" s="34" t="n">
        <v>0</v>
      </c>
      <c r="J79" s="33" t="n">
        <v>0</v>
      </c>
      <c r="K79" s="35" t="inlineStr">
        <is>
          <t>EXACTO</t>
        </is>
      </c>
      <c r="L79" s="33" t="inlineStr">
        <is>
          <t>CONCILIADO</t>
        </is>
      </c>
      <c r="M79" s="33" t="n"/>
    </row>
    <row r="80">
      <c r="A80" s="32" t="n">
        <v>46090</v>
      </c>
      <c r="B80" s="33" t="n"/>
      <c r="C80" s="34" t="n">
        <v>99627.86</v>
      </c>
      <c r="D80" s="33" t="inlineStr">
        <is>
          <t>Pago de servicios</t>
        </is>
      </c>
      <c r="E80" s="32" t="n">
        <v>46090</v>
      </c>
      <c r="F80" s="33" t="n"/>
      <c r="G80" s="34" t="n">
        <v>99627.86</v>
      </c>
      <c r="H80" s="33" t="inlineStr">
        <is>
          <t>MOVFONDOS - 7394</t>
        </is>
      </c>
      <c r="I80" s="34" t="n">
        <v>0</v>
      </c>
      <c r="J80" s="33" t="n">
        <v>0</v>
      </c>
      <c r="K80" s="35" t="inlineStr">
        <is>
          <t>EXACTO</t>
        </is>
      </c>
      <c r="L80" s="33" t="inlineStr">
        <is>
          <t>CONCILIADO</t>
        </is>
      </c>
      <c r="M80" s="33" t="n"/>
    </row>
    <row r="81">
      <c r="A81" s="32" t="n">
        <v>46090</v>
      </c>
      <c r="B81" s="34" t="n">
        <v>4203.18</v>
      </c>
      <c r="C81" s="33" t="n"/>
      <c r="D81" s="33" t="inlineStr">
        <is>
          <t>Transferencia recibida</t>
        </is>
      </c>
      <c r="E81" s="32" t="n">
        <v>46090</v>
      </c>
      <c r="F81" s="34" t="n">
        <v>4203.18</v>
      </c>
      <c r="G81" s="33" t="n"/>
      <c r="H81" s="33" t="inlineStr">
        <is>
          <t>MOVFONDOS - 7408</t>
        </is>
      </c>
      <c r="I81" s="34" t="n">
        <v>0</v>
      </c>
      <c r="J81" s="33" t="n">
        <v>0</v>
      </c>
      <c r="K81" s="35" t="inlineStr">
        <is>
          <t>EXACTO</t>
        </is>
      </c>
      <c r="L81" s="33" t="inlineStr">
        <is>
          <t>CONCILIADO</t>
        </is>
      </c>
      <c r="M81" s="33" t="n"/>
    </row>
    <row r="82">
      <c r="A82" s="32" t="n">
        <v>46090</v>
      </c>
      <c r="B82" s="33" t="n"/>
      <c r="C82" s="34" t="n">
        <v>124614</v>
      </c>
      <c r="D82" s="33" t="inlineStr">
        <is>
          <t>Transferencia realizada</t>
        </is>
      </c>
      <c r="E82" s="32" t="n">
        <v>46090</v>
      </c>
      <c r="F82" s="33" t="n"/>
      <c r="G82" s="34" t="n">
        <v>124614</v>
      </c>
      <c r="H82" s="33" t="inlineStr">
        <is>
          <t>PAGO - 2969</t>
        </is>
      </c>
      <c r="I82" s="34" t="n">
        <v>0</v>
      </c>
      <c r="J82" s="33" t="n">
        <v>0</v>
      </c>
      <c r="K82" s="35" t="inlineStr">
        <is>
          <t>EXACTO</t>
        </is>
      </c>
      <c r="L82" s="33" t="inlineStr">
        <is>
          <t>CONCILIADO</t>
        </is>
      </c>
      <c r="M82" s="33" t="n"/>
    </row>
    <row r="83">
      <c r="A83" s="32" t="n">
        <v>46090</v>
      </c>
      <c r="B83" s="34" t="n">
        <v>1221564</v>
      </c>
      <c r="C83" s="33" t="n"/>
      <c r="D83" s="33" t="inlineStr">
        <is>
          <t>Pago a proveedores recibido</t>
        </is>
      </c>
      <c r="E83" s="32" t="n">
        <v>46090</v>
      </c>
      <c r="F83" s="34" t="n">
        <v>1221564</v>
      </c>
      <c r="G83" s="33" t="n"/>
      <c r="H83" s="33" t="inlineStr">
        <is>
          <t>MOVFONDOS - 7407</t>
        </is>
      </c>
      <c r="I83" s="34" t="n">
        <v>0</v>
      </c>
      <c r="J83" s="33" t="n">
        <v>0</v>
      </c>
      <c r="K83" s="35" t="inlineStr">
        <is>
          <t>EXACTO</t>
        </is>
      </c>
      <c r="L83" s="33" t="inlineStr">
        <is>
          <t>CONCILIADO</t>
        </is>
      </c>
      <c r="M83" s="33" t="n"/>
    </row>
    <row r="84">
      <c r="A84" s="32" t="n">
        <v>46090</v>
      </c>
      <c r="B84" s="34" t="n">
        <v>276530.8</v>
      </c>
      <c r="C84" s="33" t="n"/>
      <c r="D84" s="33" t="inlineStr">
        <is>
          <t>Credito transf online banking emp</t>
        </is>
      </c>
      <c r="E84" s="32" t="n">
        <v>46090</v>
      </c>
      <c r="F84" s="34" t="n">
        <v>276530.8</v>
      </c>
      <c r="G84" s="33" t="n"/>
      <c r="H84" s="33" t="inlineStr">
        <is>
          <t>MOVFONDOS - 7406</t>
        </is>
      </c>
      <c r="I84" s="34" t="n">
        <v>0</v>
      </c>
      <c r="J84" s="33" t="n">
        <v>0</v>
      </c>
      <c r="K84" s="35" t="inlineStr">
        <is>
          <t>EXACTO</t>
        </is>
      </c>
      <c r="L84" s="33" t="inlineStr">
        <is>
          <t>CONCILIADO</t>
        </is>
      </c>
      <c r="M84" s="33" t="n"/>
    </row>
    <row r="85">
      <c r="A85" s="32" t="n">
        <v>46090</v>
      </c>
      <c r="B85" s="34" t="n">
        <v>7417</v>
      </c>
      <c r="C85" s="33" t="n"/>
      <c r="D85" s="33" t="inlineStr">
        <is>
          <t>Transf recibida cvu dif titular</t>
        </is>
      </c>
      <c r="E85" s="32" t="n">
        <v>46090</v>
      </c>
      <c r="F85" s="34" t="n">
        <v>7417</v>
      </c>
      <c r="G85" s="33" t="n"/>
      <c r="H85" s="33" t="inlineStr">
        <is>
          <t>MOVFONDOS - 7405</t>
        </is>
      </c>
      <c r="I85" s="34" t="n">
        <v>0</v>
      </c>
      <c r="J85" s="33" t="n">
        <v>0</v>
      </c>
      <c r="K85" s="35" t="inlineStr">
        <is>
          <t>EXACTO</t>
        </is>
      </c>
      <c r="L85" s="33" t="inlineStr">
        <is>
          <t>CONCILIADO</t>
        </is>
      </c>
      <c r="M85" s="33" t="n"/>
    </row>
    <row r="86">
      <c r="A86" s="32" t="n">
        <v>46090</v>
      </c>
      <c r="B86" s="34" t="n">
        <v>20030.88</v>
      </c>
      <c r="C86" s="33" t="n"/>
      <c r="D86" s="33" t="inlineStr">
        <is>
          <t>Transferencia ctas mobile banking</t>
        </is>
      </c>
      <c r="E86" s="32" t="n">
        <v>46090</v>
      </c>
      <c r="F86" s="34" t="n">
        <v>20030.88</v>
      </c>
      <c r="G86" s="33" t="n"/>
      <c r="H86" s="33" t="inlineStr">
        <is>
          <t>MOVFONDOS - 7404</t>
        </is>
      </c>
      <c r="I86" s="34" t="n">
        <v>0</v>
      </c>
      <c r="J86" s="33" t="n">
        <v>0</v>
      </c>
      <c r="K86" s="35" t="inlineStr">
        <is>
          <t>EXACTO</t>
        </is>
      </c>
      <c r="L86" s="33" t="inlineStr">
        <is>
          <t>CONCILIADO</t>
        </is>
      </c>
      <c r="M86" s="33" t="n"/>
    </row>
    <row r="87">
      <c r="A87" s="32" t="n">
        <v>46090</v>
      </c>
      <c r="B87" s="33" t="n"/>
      <c r="C87" s="34" t="n">
        <v>597001.8</v>
      </c>
      <c r="D87" s="33" t="inlineStr">
        <is>
          <t>Deposito echeq canje interno 24hs</t>
        </is>
      </c>
      <c r="E87" s="32" t="n">
        <v>46090</v>
      </c>
      <c r="F87" s="34" t="n">
        <v>597001.8</v>
      </c>
      <c r="G87" s="33" t="n"/>
      <c r="H87" s="33" t="inlineStr">
        <is>
          <t>MOVFONDOS - 7383</t>
        </is>
      </c>
      <c r="I87" s="34" t="n">
        <v>0</v>
      </c>
      <c r="J87" s="33" t="n">
        <v>0</v>
      </c>
      <c r="K87" s="35" t="inlineStr">
        <is>
          <t>EXACTO</t>
        </is>
      </c>
      <c r="L87" s="33" t="inlineStr">
        <is>
          <t>CONCILIADO</t>
        </is>
      </c>
      <c r="M87" s="33" t="n"/>
    </row>
    <row r="88">
      <c r="A88" s="32" t="n">
        <v>46091</v>
      </c>
      <c r="B88" s="33" t="n"/>
      <c r="C88" s="34" t="n">
        <v>58802.63</v>
      </c>
      <c r="D88" s="33" t="inlineStr">
        <is>
          <t>Pago comercios getnet nro.liq.</t>
        </is>
      </c>
      <c r="E88" s="32" t="n">
        <v>46091</v>
      </c>
      <c r="F88" s="34" t="n">
        <v>58802.63</v>
      </c>
      <c r="G88" s="33" t="n"/>
      <c r="H88" s="33" t="inlineStr">
        <is>
          <t>AGGETNET - 388</t>
        </is>
      </c>
      <c r="I88" s="34" t="n">
        <v>0</v>
      </c>
      <c r="J88" s="33" t="n">
        <v>0</v>
      </c>
      <c r="K88" s="35" t="inlineStr">
        <is>
          <t>EXACTO</t>
        </is>
      </c>
      <c r="L88" s="33" t="inlineStr">
        <is>
          <t>CONCILIADO</t>
        </is>
      </c>
      <c r="M88" s="33" t="n"/>
    </row>
    <row r="89">
      <c r="A89" s="32" t="n">
        <v>46091</v>
      </c>
      <c r="B89" s="33" t="n"/>
      <c r="C89" s="34" t="n">
        <v>1024647.4</v>
      </c>
      <c r="D89" s="33" t="inlineStr">
        <is>
          <t>Credito transf online banking emp</t>
        </is>
      </c>
      <c r="E89" s="32" t="n">
        <v>46091</v>
      </c>
      <c r="F89" s="34" t="n">
        <v>1024647.4</v>
      </c>
      <c r="G89" s="33" t="n"/>
      <c r="H89" s="33" t="inlineStr">
        <is>
          <t>MOVFONDOS - 7409</t>
        </is>
      </c>
      <c r="I89" s="34" t="n">
        <v>0</v>
      </c>
      <c r="J89" s="33" t="n">
        <v>0</v>
      </c>
      <c r="K89" s="35" t="inlineStr">
        <is>
          <t>EXACTO</t>
        </is>
      </c>
      <c r="L89" s="33" t="inlineStr">
        <is>
          <t>CONCILIADO</t>
        </is>
      </c>
      <c r="M89" s="33" t="n"/>
    </row>
    <row r="90">
      <c r="A90" s="32" t="n">
        <v>46091</v>
      </c>
      <c r="B90" s="33" t="n"/>
      <c r="C90" s="34" t="n">
        <v>253589.73</v>
      </c>
      <c r="D90" s="33" t="inlineStr">
        <is>
          <t>Pago comercios getnet nro.liq.</t>
        </is>
      </c>
      <c r="E90" s="32" t="n">
        <v>46091</v>
      </c>
      <c r="F90" s="34" t="n">
        <v>253589.73</v>
      </c>
      <c r="G90" s="33" t="n"/>
      <c r="H90" s="33" t="inlineStr">
        <is>
          <t>AGGETNET - 388</t>
        </is>
      </c>
      <c r="I90" s="34" t="n">
        <v>0</v>
      </c>
      <c r="J90" s="33" t="n">
        <v>0</v>
      </c>
      <c r="K90" s="35" t="inlineStr">
        <is>
          <t>EXACTO</t>
        </is>
      </c>
      <c r="L90" s="33" t="inlineStr">
        <is>
          <t>CONCILIADO</t>
        </is>
      </c>
      <c r="M90" s="33" t="n"/>
    </row>
    <row r="91">
      <c r="A91" s="32" t="n">
        <v>46091</v>
      </c>
      <c r="B91" s="33" t="n"/>
      <c r="C91" s="34" t="n">
        <v>236436.76</v>
      </c>
      <c r="D91" s="33" t="inlineStr">
        <is>
          <t>Transferencia recibida</t>
        </is>
      </c>
      <c r="E91" s="32" t="n">
        <v>46091</v>
      </c>
      <c r="F91" s="34" t="n">
        <v>236436.76</v>
      </c>
      <c r="G91" s="33" t="n"/>
      <c r="H91" s="33" t="inlineStr">
        <is>
          <t>MOVFONDOS - 7410</t>
        </is>
      </c>
      <c r="I91" s="34" t="n">
        <v>0</v>
      </c>
      <c r="J91" s="33" t="n">
        <v>0</v>
      </c>
      <c r="K91" s="35" t="inlineStr">
        <is>
          <t>EXACTO</t>
        </is>
      </c>
      <c r="L91" s="33" t="inlineStr">
        <is>
          <t>CONCILIADO</t>
        </is>
      </c>
      <c r="M91" s="33" t="n"/>
    </row>
    <row r="92">
      <c r="A92" s="32" t="n">
        <v>46091</v>
      </c>
      <c r="B92" s="33" t="n"/>
      <c r="C92" s="34" t="n">
        <v>70000000</v>
      </c>
      <c r="D92" s="33" t="inlineStr">
        <is>
          <t>Pago cci 24hs no gravada interbank</t>
        </is>
      </c>
      <c r="E92" s="32" t="n">
        <v>46091</v>
      </c>
      <c r="F92" s="33" t="n"/>
      <c r="G92" s="34" t="n">
        <v>70000000</v>
      </c>
      <c r="H92" s="33" t="inlineStr">
        <is>
          <t>MOVFONDOS - 7414</t>
        </is>
      </c>
      <c r="I92" s="34" t="n">
        <v>0</v>
      </c>
      <c r="J92" s="33" t="n">
        <v>0</v>
      </c>
      <c r="K92" s="35" t="inlineStr">
        <is>
          <t>EXACTO</t>
        </is>
      </c>
      <c r="L92" s="33" t="inlineStr">
        <is>
          <t>CONCILIADO</t>
        </is>
      </c>
      <c r="M92" s="33" t="n"/>
    </row>
    <row r="93">
      <c r="A93" s="32" t="n">
        <v>46091</v>
      </c>
      <c r="B93" s="34" t="n">
        <v>929482.2</v>
      </c>
      <c r="C93" s="33" t="n"/>
      <c r="D93" s="33" t="inlineStr">
        <is>
          <t>Credito transf online banking emp</t>
        </is>
      </c>
      <c r="E93" s="32" t="n">
        <v>46091</v>
      </c>
      <c r="F93" s="34" t="n">
        <v>929482.2</v>
      </c>
      <c r="G93" s="33" t="n"/>
      <c r="H93" s="33" t="inlineStr">
        <is>
          <t>MOVFONDOS - 7423</t>
        </is>
      </c>
      <c r="I93" s="34" t="n">
        <v>0</v>
      </c>
      <c r="J93" s="33" t="n">
        <v>0</v>
      </c>
      <c r="K93" s="35" t="inlineStr">
        <is>
          <t>EXACTO</t>
        </is>
      </c>
      <c r="L93" s="33" t="inlineStr">
        <is>
          <t>CONCILIADO</t>
        </is>
      </c>
      <c r="M93" s="33" t="n"/>
    </row>
    <row r="94">
      <c r="A94" s="32" t="n">
        <v>46091</v>
      </c>
      <c r="B94" s="34" t="n">
        <v>100000000</v>
      </c>
      <c r="C94" s="33" t="n"/>
      <c r="D94" s="33" t="inlineStr">
        <is>
          <t>Transferencia por sistema mep</t>
        </is>
      </c>
      <c r="E94" s="32" t="n">
        <v>46091</v>
      </c>
      <c r="F94" s="34" t="n">
        <v>100000000</v>
      </c>
      <c r="G94" s="33" t="n"/>
      <c r="H94" s="33" t="inlineStr">
        <is>
          <t>MOVFONDOS - 7415</t>
        </is>
      </c>
      <c r="I94" s="34" t="n">
        <v>0</v>
      </c>
      <c r="J94" s="33" t="n">
        <v>0</v>
      </c>
      <c r="K94" s="35" t="inlineStr">
        <is>
          <t>EXACTO</t>
        </is>
      </c>
      <c r="L94" s="33" t="inlineStr">
        <is>
          <t>CONCILIADO</t>
        </is>
      </c>
      <c r="M94" s="33" t="n"/>
    </row>
    <row r="95">
      <c r="A95" s="32" t="n">
        <v>46091</v>
      </c>
      <c r="B95" s="33" t="n"/>
      <c r="C95" s="34" t="n">
        <v>1000000</v>
      </c>
      <c r="D95" s="33" t="inlineStr">
        <is>
          <t>Transf recibida cvu mismo titular</t>
        </is>
      </c>
      <c r="E95" s="32" t="n">
        <v>46091</v>
      </c>
      <c r="F95" s="34" t="n">
        <v>1000000</v>
      </c>
      <c r="G95" s="33" t="n"/>
      <c r="H95" s="33" t="inlineStr">
        <is>
          <t>MOVFONDOS - 7418</t>
        </is>
      </c>
      <c r="I95" s="34" t="n">
        <v>0</v>
      </c>
      <c r="J95" s="33" t="n">
        <v>0</v>
      </c>
      <c r="K95" s="35" t="inlineStr">
        <is>
          <t>EXACTO</t>
        </is>
      </c>
      <c r="L95" s="33" t="inlineStr">
        <is>
          <t>CONCILIADO</t>
        </is>
      </c>
      <c r="M95" s="33" t="n"/>
    </row>
    <row r="96">
      <c r="A96" s="32" t="n">
        <v>46091</v>
      </c>
      <c r="B96" s="33" t="n"/>
      <c r="C96" s="34" t="n">
        <v>1000000</v>
      </c>
      <c r="D96" s="33" t="inlineStr">
        <is>
          <t>Transf recibida cvu mismo titular</t>
        </is>
      </c>
      <c r="E96" s="32" t="n">
        <v>46091</v>
      </c>
      <c r="F96" s="34" t="n">
        <v>1000000</v>
      </c>
      <c r="G96" s="33" t="n"/>
      <c r="H96" s="33" t="inlineStr">
        <is>
          <t>MOVFONDOS - 7419</t>
        </is>
      </c>
      <c r="I96" s="34" t="n">
        <v>0</v>
      </c>
      <c r="J96" s="33" t="n">
        <v>0</v>
      </c>
      <c r="K96" s="35" t="inlineStr">
        <is>
          <t>EXACTO</t>
        </is>
      </c>
      <c r="L96" s="33" t="inlineStr">
        <is>
          <t>CONCILIADO</t>
        </is>
      </c>
      <c r="M96" s="33" t="n"/>
    </row>
    <row r="97">
      <c r="A97" s="32" t="n">
        <v>46091</v>
      </c>
      <c r="B97" s="33" t="n"/>
      <c r="C97" s="34" t="n">
        <v>100000000</v>
      </c>
      <c r="D97" s="33" t="inlineStr">
        <is>
          <t>Suscripcion fondos comunes invers</t>
        </is>
      </c>
      <c r="E97" s="32" t="n">
        <v>46091</v>
      </c>
      <c r="F97" s="33" t="n"/>
      <c r="G97" s="34" t="n">
        <v>100000000</v>
      </c>
      <c r="H97" s="33" t="inlineStr">
        <is>
          <t>MOVFONDOS - 7417</t>
        </is>
      </c>
      <c r="I97" s="34" t="n">
        <v>0</v>
      </c>
      <c r="J97" s="33" t="n">
        <v>0</v>
      </c>
      <c r="K97" s="35" t="inlineStr">
        <is>
          <t>EXACTO</t>
        </is>
      </c>
      <c r="L97" s="33" t="inlineStr">
        <is>
          <t>CONCILIADO</t>
        </is>
      </c>
      <c r="M97" s="33" t="n"/>
    </row>
    <row r="98">
      <c r="A98" s="32" t="n">
        <v>46091</v>
      </c>
      <c r="B98" s="33" t="n"/>
      <c r="C98" s="34" t="n">
        <v>866549.5600000001</v>
      </c>
      <c r="D98" s="33" t="inlineStr">
        <is>
          <t>Pago de servicios</t>
        </is>
      </c>
      <c r="E98" s="32" t="n">
        <v>46091</v>
      </c>
      <c r="F98" s="33" t="n"/>
      <c r="G98" s="34" t="n">
        <v>866549.5600000001</v>
      </c>
      <c r="H98" s="33" t="inlineStr">
        <is>
          <t>MOVFONDOS - 7424</t>
        </is>
      </c>
      <c r="I98" s="34" t="n">
        <v>0</v>
      </c>
      <c r="J98" s="33" t="n">
        <v>0</v>
      </c>
      <c r="K98" s="35" t="inlineStr">
        <is>
          <t>EXACTO</t>
        </is>
      </c>
      <c r="L98" s="33" t="inlineStr">
        <is>
          <t>CONCILIADO</t>
        </is>
      </c>
      <c r="M98" s="33" t="n"/>
    </row>
    <row r="99">
      <c r="A99" s="32" t="n">
        <v>46091</v>
      </c>
      <c r="B99" s="33" t="n"/>
      <c r="C99" s="34" t="n">
        <v>121416.31</v>
      </c>
      <c r="D99" s="33" t="inlineStr">
        <is>
          <t>Pago de servicios</t>
        </is>
      </c>
      <c r="E99" s="32" t="n">
        <v>46091</v>
      </c>
      <c r="F99" s="33" t="n"/>
      <c r="G99" s="34" t="n">
        <v>121416.31</v>
      </c>
      <c r="H99" s="33" t="inlineStr">
        <is>
          <t>MOVFONDOS - 7425</t>
        </is>
      </c>
      <c r="I99" s="34" t="n">
        <v>0</v>
      </c>
      <c r="J99" s="33" t="n">
        <v>0</v>
      </c>
      <c r="K99" s="35" t="inlineStr">
        <is>
          <t>EXACTO</t>
        </is>
      </c>
      <c r="L99" s="33" t="inlineStr">
        <is>
          <t>CONCILIADO</t>
        </is>
      </c>
      <c r="M99" s="33" t="n"/>
    </row>
    <row r="100">
      <c r="A100" s="32" t="n">
        <v>46091</v>
      </c>
      <c r="B100" s="33" t="n"/>
      <c r="C100" s="34" t="n">
        <v>221006.25</v>
      </c>
      <c r="D100" s="33" t="inlineStr">
        <is>
          <t>Pago de servicios</t>
        </is>
      </c>
      <c r="E100" s="32" t="n">
        <v>46091</v>
      </c>
      <c r="F100" s="33" t="n"/>
      <c r="G100" s="34" t="n">
        <v>221006.25</v>
      </c>
      <c r="H100" s="33" t="inlineStr">
        <is>
          <t>MOVFONDOS - 7426</t>
        </is>
      </c>
      <c r="I100" s="34" t="n">
        <v>0</v>
      </c>
      <c r="J100" s="33" t="n">
        <v>0</v>
      </c>
      <c r="K100" s="35" t="inlineStr">
        <is>
          <t>EXACTO</t>
        </is>
      </c>
      <c r="L100" s="33" t="inlineStr">
        <is>
          <t>CONCILIADO</t>
        </is>
      </c>
      <c r="M100" s="33" t="n"/>
    </row>
    <row r="101">
      <c r="A101" s="32" t="n">
        <v>46091</v>
      </c>
      <c r="B101" s="33" t="n"/>
      <c r="C101" s="34" t="n">
        <v>559668.6800000001</v>
      </c>
      <c r="D101" s="33" t="inlineStr">
        <is>
          <t>Pago de servicios</t>
        </is>
      </c>
      <c r="E101" s="32" t="n">
        <v>46091</v>
      </c>
      <c r="F101" s="33" t="n"/>
      <c r="G101" s="34" t="n">
        <v>559668.6800000001</v>
      </c>
      <c r="H101" s="33" t="inlineStr">
        <is>
          <t>PAGO - 2980</t>
        </is>
      </c>
      <c r="I101" s="34" t="n">
        <v>0</v>
      </c>
      <c r="J101" s="33" t="n">
        <v>0</v>
      </c>
      <c r="K101" s="35" t="inlineStr">
        <is>
          <t>EXACTO</t>
        </is>
      </c>
      <c r="L101" s="33" t="inlineStr">
        <is>
          <t>CONCILIADO</t>
        </is>
      </c>
      <c r="M101" s="33" t="n"/>
    </row>
    <row r="102">
      <c r="A102" s="32" t="n">
        <v>46091</v>
      </c>
      <c r="B102" s="33" t="n"/>
      <c r="C102" s="34" t="n">
        <v>177000</v>
      </c>
      <c r="D102" s="33" t="inlineStr">
        <is>
          <t>Debito transf. online banking emp</t>
        </is>
      </c>
      <c r="E102" s="32" t="n">
        <v>46091</v>
      </c>
      <c r="F102" s="33" t="n"/>
      <c r="G102" s="34" t="n">
        <v>177000</v>
      </c>
      <c r="H102" s="33" t="inlineStr">
        <is>
          <t>PAGO - 2971</t>
        </is>
      </c>
      <c r="I102" s="34" t="n">
        <v>0</v>
      </c>
      <c r="J102" s="33" t="n">
        <v>0</v>
      </c>
      <c r="K102" s="35" t="inlineStr">
        <is>
          <t>EXACTO</t>
        </is>
      </c>
      <c r="L102" s="33" t="inlineStr">
        <is>
          <t>CONCILIADO</t>
        </is>
      </c>
      <c r="M102" s="33" t="n"/>
    </row>
    <row r="103">
      <c r="A103" s="32" t="n">
        <v>46091</v>
      </c>
      <c r="B103" s="33" t="n"/>
      <c r="C103" s="34" t="n">
        <v>155000</v>
      </c>
      <c r="D103" s="33" t="inlineStr">
        <is>
          <t>Transferencia realizada</t>
        </is>
      </c>
      <c r="E103" s="32" t="n">
        <v>46091</v>
      </c>
      <c r="F103" s="33" t="n"/>
      <c r="G103" s="34" t="n">
        <v>155000</v>
      </c>
      <c r="H103" s="33" t="inlineStr">
        <is>
          <t>PAGO - 2972</t>
        </is>
      </c>
      <c r="I103" s="34" t="n">
        <v>0</v>
      </c>
      <c r="J103" s="33" t="n">
        <v>0</v>
      </c>
      <c r="K103" s="35" t="inlineStr">
        <is>
          <t>EXACTO</t>
        </is>
      </c>
      <c r="L103" s="33" t="inlineStr">
        <is>
          <t>CONCILIADO</t>
        </is>
      </c>
      <c r="M103" s="33" t="n"/>
    </row>
    <row r="104">
      <c r="A104" s="32" t="n">
        <v>46091</v>
      </c>
      <c r="B104" s="33" t="n"/>
      <c r="C104" s="34" t="n">
        <v>131594.76</v>
      </c>
      <c r="D104" s="33" t="inlineStr">
        <is>
          <t>Transferencia realizada</t>
        </is>
      </c>
      <c r="E104" s="32" t="n">
        <v>46091</v>
      </c>
      <c r="F104" s="33" t="n"/>
      <c r="G104" s="34" t="n">
        <v>131594.76</v>
      </c>
      <c r="H104" s="33" t="inlineStr">
        <is>
          <t>PAGO - 2973</t>
        </is>
      </c>
      <c r="I104" s="34" t="n">
        <v>0</v>
      </c>
      <c r="J104" s="33" t="n">
        <v>0</v>
      </c>
      <c r="K104" s="35" t="inlineStr">
        <is>
          <t>EXACTO</t>
        </is>
      </c>
      <c r="L104" s="33" t="inlineStr">
        <is>
          <t>CONCILIADO</t>
        </is>
      </c>
      <c r="M104" s="33" t="n"/>
    </row>
    <row r="105">
      <c r="A105" s="32" t="n">
        <v>46091</v>
      </c>
      <c r="B105" s="33" t="n"/>
      <c r="C105" s="34" t="n">
        <v>110958.19</v>
      </c>
      <c r="D105" s="33" t="inlineStr">
        <is>
          <t>Transferencia realizada</t>
        </is>
      </c>
      <c r="E105" s="32" t="n">
        <v>46091</v>
      </c>
      <c r="F105" s="33" t="n"/>
      <c r="G105" s="34" t="n">
        <v>110958.19</v>
      </c>
      <c r="H105" s="33" t="inlineStr">
        <is>
          <t>PAGO - 2975</t>
        </is>
      </c>
      <c r="I105" s="34" t="n">
        <v>0</v>
      </c>
      <c r="J105" s="33" t="n">
        <v>0</v>
      </c>
      <c r="K105" s="35" t="inlineStr">
        <is>
          <t>EXACTO</t>
        </is>
      </c>
      <c r="L105" s="33" t="inlineStr">
        <is>
          <t>CONCILIADO</t>
        </is>
      </c>
      <c r="M105" s="33" t="n"/>
    </row>
    <row r="106">
      <c r="A106" s="32" t="n">
        <v>46091</v>
      </c>
      <c r="B106" s="33" t="n"/>
      <c r="C106" s="34" t="n">
        <v>28484.75</v>
      </c>
      <c r="D106" s="33" t="inlineStr">
        <is>
          <t>Transferencia realizada</t>
        </is>
      </c>
      <c r="E106" s="32" t="n">
        <v>46091</v>
      </c>
      <c r="F106" s="33" t="n"/>
      <c r="G106" s="34" t="n">
        <v>28484.75</v>
      </c>
      <c r="H106" s="33" t="inlineStr">
        <is>
          <t>PAGO - 2976</t>
        </is>
      </c>
      <c r="I106" s="34" t="n">
        <v>0</v>
      </c>
      <c r="J106" s="33" t="n">
        <v>0</v>
      </c>
      <c r="K106" s="35" t="inlineStr">
        <is>
          <t>EXACTO</t>
        </is>
      </c>
      <c r="L106" s="33" t="inlineStr">
        <is>
          <t>CONCILIADO</t>
        </is>
      </c>
      <c r="M106" s="33" t="n"/>
    </row>
    <row r="107">
      <c r="A107" s="32" t="n">
        <v>46091</v>
      </c>
      <c r="B107" s="33" t="n"/>
      <c r="C107" s="34" t="n">
        <v>39649.05</v>
      </c>
      <c r="D107" s="33" t="inlineStr">
        <is>
          <t>Transferencia realizada</t>
        </is>
      </c>
      <c r="E107" s="32" t="n">
        <v>46091</v>
      </c>
      <c r="F107" s="33" t="n"/>
      <c r="G107" s="34" t="n">
        <v>39649.05</v>
      </c>
      <c r="H107" s="33" t="inlineStr">
        <is>
          <t>PAGO - 2977</t>
        </is>
      </c>
      <c r="I107" s="34" t="n">
        <v>0</v>
      </c>
      <c r="J107" s="33" t="n">
        <v>0</v>
      </c>
      <c r="K107" s="35" t="inlineStr">
        <is>
          <t>EXACTO</t>
        </is>
      </c>
      <c r="L107" s="33" t="inlineStr">
        <is>
          <t>CONCILIADO</t>
        </is>
      </c>
      <c r="M107" s="33" t="n"/>
    </row>
    <row r="108">
      <c r="A108" s="32" t="n">
        <v>46091</v>
      </c>
      <c r="B108" s="33" t="n"/>
      <c r="C108" s="34" t="n">
        <v>115531.85</v>
      </c>
      <c r="D108" s="33" t="inlineStr">
        <is>
          <t>Transferencia realizada</t>
        </is>
      </c>
      <c r="E108" s="32" t="n">
        <v>46091</v>
      </c>
      <c r="F108" s="33" t="n"/>
      <c r="G108" s="34" t="n">
        <v>115531.85</v>
      </c>
      <c r="H108" s="33" t="inlineStr">
        <is>
          <t>PAGO - 2978</t>
        </is>
      </c>
      <c r="I108" s="34" t="n">
        <v>0</v>
      </c>
      <c r="J108" s="33" t="n">
        <v>0</v>
      </c>
      <c r="K108" s="35" t="inlineStr">
        <is>
          <t>EXACTO</t>
        </is>
      </c>
      <c r="L108" s="33" t="inlineStr">
        <is>
          <t>CONCILIADO</t>
        </is>
      </c>
      <c r="M108" s="33" t="n"/>
    </row>
    <row r="109">
      <c r="A109" s="32" t="n">
        <v>46091</v>
      </c>
      <c r="B109" s="33" t="n"/>
      <c r="C109" s="34" t="n">
        <v>30594.97</v>
      </c>
      <c r="D109" s="33" t="inlineStr">
        <is>
          <t>Transferencia realizada</t>
        </is>
      </c>
      <c r="E109" s="32" t="n">
        <v>46091</v>
      </c>
      <c r="F109" s="33" t="n"/>
      <c r="G109" s="34" t="n">
        <v>30594.97</v>
      </c>
      <c r="H109" s="33" t="inlineStr">
        <is>
          <t>PAGO - 2979</t>
        </is>
      </c>
      <c r="I109" s="34" t="n">
        <v>0</v>
      </c>
      <c r="J109" s="33" t="n">
        <v>0</v>
      </c>
      <c r="K109" s="35" t="inlineStr">
        <is>
          <t>EXACTO</t>
        </is>
      </c>
      <c r="L109" s="33" t="inlineStr">
        <is>
          <t>CONCILIADO</t>
        </is>
      </c>
      <c r="M109" s="33" t="n"/>
    </row>
    <row r="110">
      <c r="A110" s="32" t="n">
        <v>46091</v>
      </c>
      <c r="B110" s="33" t="n"/>
      <c r="C110" s="34" t="n">
        <v>1545864.54</v>
      </c>
      <c r="D110" s="33" t="inlineStr">
        <is>
          <t>Transferencia realizada</t>
        </is>
      </c>
      <c r="E110" s="32" t="n">
        <v>46091</v>
      </c>
      <c r="F110" s="33" t="n"/>
      <c r="G110" s="34" t="n">
        <v>1545864.54</v>
      </c>
      <c r="H110" s="33" t="inlineStr">
        <is>
          <t>PAGO - 2981</t>
        </is>
      </c>
      <c r="I110" s="34" t="n">
        <v>0</v>
      </c>
      <c r="J110" s="33" t="n">
        <v>0</v>
      </c>
      <c r="K110" s="35" t="inlineStr">
        <is>
          <t>EXACTO</t>
        </is>
      </c>
      <c r="L110" s="33" t="inlineStr">
        <is>
          <t>CONCILIADO</t>
        </is>
      </c>
      <c r="M110" s="33" t="n"/>
    </row>
    <row r="111">
      <c r="A111" s="32" t="n">
        <v>46091</v>
      </c>
      <c r="B111" s="33" t="n"/>
      <c r="C111" s="34" t="n">
        <v>292327.04</v>
      </c>
      <c r="D111" s="33" t="inlineStr">
        <is>
          <t>Transferencia realizada</t>
        </is>
      </c>
      <c r="E111" s="32" t="n">
        <v>46091</v>
      </c>
      <c r="F111" s="33" t="n"/>
      <c r="G111" s="34" t="n">
        <v>292327.04</v>
      </c>
      <c r="H111" s="33" t="inlineStr">
        <is>
          <t>PAGO - 2982</t>
        </is>
      </c>
      <c r="I111" s="34" t="n">
        <v>0</v>
      </c>
      <c r="J111" s="33" t="n">
        <v>0</v>
      </c>
      <c r="K111" s="35" t="inlineStr">
        <is>
          <t>EXACTO</t>
        </is>
      </c>
      <c r="L111" s="33" t="inlineStr">
        <is>
          <t>CONCILIADO</t>
        </is>
      </c>
      <c r="M111" s="33" t="n"/>
    </row>
    <row r="112">
      <c r="A112" s="32" t="n">
        <v>46091</v>
      </c>
      <c r="B112" s="33" t="n"/>
      <c r="C112" s="34" t="n">
        <v>404268.98</v>
      </c>
      <c r="D112" s="33" t="inlineStr">
        <is>
          <t>Debito transf. online banking emp</t>
        </is>
      </c>
      <c r="E112" s="32" t="n">
        <v>46091</v>
      </c>
      <c r="F112" s="33" t="n"/>
      <c r="G112" s="34" t="n">
        <v>404268.98</v>
      </c>
      <c r="H112" s="33" t="inlineStr">
        <is>
          <t>PAGO - 2983</t>
        </is>
      </c>
      <c r="I112" s="34" t="n">
        <v>0</v>
      </c>
      <c r="J112" s="33" t="n">
        <v>0</v>
      </c>
      <c r="K112" s="35" t="inlineStr">
        <is>
          <t>EXACTO</t>
        </is>
      </c>
      <c r="L112" s="33" t="inlineStr">
        <is>
          <t>CONCILIADO</t>
        </is>
      </c>
      <c r="M112" s="33" t="n"/>
    </row>
    <row r="113">
      <c r="A113" s="32" t="n">
        <v>46091</v>
      </c>
      <c r="B113" s="33" t="n"/>
      <c r="C113" s="34" t="n">
        <v>84000</v>
      </c>
      <c r="D113" s="33" t="inlineStr">
        <is>
          <t>Transferencia realizada</t>
        </is>
      </c>
      <c r="E113" s="32" t="n">
        <v>46091</v>
      </c>
      <c r="F113" s="33" t="n"/>
      <c r="G113" s="34" t="n">
        <v>84000</v>
      </c>
      <c r="H113" s="33" t="inlineStr">
        <is>
          <t>PAGO - 2984</t>
        </is>
      </c>
      <c r="I113" s="34" t="n">
        <v>0</v>
      </c>
      <c r="J113" s="33" t="n">
        <v>0</v>
      </c>
      <c r="K113" s="35" t="inlineStr">
        <is>
          <t>EXACTO</t>
        </is>
      </c>
      <c r="L113" s="33" t="inlineStr">
        <is>
          <t>CONCILIADO</t>
        </is>
      </c>
      <c r="M113" s="33" t="n"/>
    </row>
    <row r="114">
      <c r="A114" s="32" t="n">
        <v>46091</v>
      </c>
      <c r="B114" s="33" t="n"/>
      <c r="C114" s="34" t="n">
        <v>459242.49</v>
      </c>
      <c r="D114" s="33" t="inlineStr">
        <is>
          <t>Transferencia realizada</t>
        </is>
      </c>
      <c r="E114" s="32" t="n">
        <v>46091</v>
      </c>
      <c r="F114" s="33" t="n"/>
      <c r="G114" s="34" t="n">
        <v>459242.49</v>
      </c>
      <c r="H114" s="33" t="inlineStr">
        <is>
          <t>PAGO - 2986</t>
        </is>
      </c>
      <c r="I114" s="34" t="n">
        <v>0</v>
      </c>
      <c r="J114" s="33" t="n">
        <v>0</v>
      </c>
      <c r="K114" s="35" t="inlineStr">
        <is>
          <t>EXACTO</t>
        </is>
      </c>
      <c r="L114" s="33" t="inlineStr">
        <is>
          <t>CONCILIADO</t>
        </is>
      </c>
      <c r="M114" s="33" t="n"/>
    </row>
    <row r="115">
      <c r="A115" s="32" t="n">
        <v>46091</v>
      </c>
      <c r="B115" s="33" t="n"/>
      <c r="C115" s="34" t="n">
        <v>862730</v>
      </c>
      <c r="D115" s="33" t="inlineStr">
        <is>
          <t>Debito transf. online banking emp</t>
        </is>
      </c>
      <c r="E115" s="32" t="n">
        <v>46091</v>
      </c>
      <c r="F115" s="33" t="n"/>
      <c r="G115" s="34" t="n">
        <v>862730</v>
      </c>
      <c r="H115" s="33" t="inlineStr">
        <is>
          <t>PAGO - 2985</t>
        </is>
      </c>
      <c r="I115" s="34" t="n">
        <v>0</v>
      </c>
      <c r="J115" s="33" t="n">
        <v>0</v>
      </c>
      <c r="K115" s="35" t="inlineStr">
        <is>
          <t>EXACTO</t>
        </is>
      </c>
      <c r="L115" s="33" t="inlineStr">
        <is>
          <t>CONCILIADO</t>
        </is>
      </c>
      <c r="M115" s="33" t="n"/>
    </row>
    <row r="116">
      <c r="A116" s="32" t="n">
        <v>46091</v>
      </c>
      <c r="B116" s="33" t="n"/>
      <c r="C116" s="34" t="n">
        <v>649197.59</v>
      </c>
      <c r="D116" s="33" t="inlineStr">
        <is>
          <t>Transferencia realizada</t>
        </is>
      </c>
      <c r="E116" s="32" t="n">
        <v>46091</v>
      </c>
      <c r="F116" s="33" t="n"/>
      <c r="G116" s="34" t="n">
        <v>649197.59</v>
      </c>
      <c r="H116" s="33" t="inlineStr">
        <is>
          <t>MOVFONDOS - 7429</t>
        </is>
      </c>
      <c r="I116" s="34" t="n">
        <v>0</v>
      </c>
      <c r="J116" s="33" t="n">
        <v>0</v>
      </c>
      <c r="K116" s="35" t="inlineStr">
        <is>
          <t>EXACTO</t>
        </is>
      </c>
      <c r="L116" s="33" t="inlineStr">
        <is>
          <t>CONCILIADO</t>
        </is>
      </c>
      <c r="M116" s="33" t="n"/>
    </row>
    <row r="117">
      <c r="A117" s="32" t="n">
        <v>46091</v>
      </c>
      <c r="B117" s="33" t="n"/>
      <c r="C117" s="34" t="n">
        <v>851003.8</v>
      </c>
      <c r="D117" s="33" t="inlineStr">
        <is>
          <t>Pago de servicios</t>
        </is>
      </c>
      <c r="E117" s="32" t="n">
        <v>46091</v>
      </c>
      <c r="F117" s="33" t="n"/>
      <c r="G117" s="34" t="n">
        <v>851003.8</v>
      </c>
      <c r="H117" s="33" t="inlineStr">
        <is>
          <t>MOVFONDOS - 7427</t>
        </is>
      </c>
      <c r="I117" s="34" t="n">
        <v>0</v>
      </c>
      <c r="J117" s="33" t="n">
        <v>0</v>
      </c>
      <c r="K117" s="35" t="inlineStr">
        <is>
          <t>EXACTO</t>
        </is>
      </c>
      <c r="L117" s="33" t="inlineStr">
        <is>
          <t>CONCILIADO</t>
        </is>
      </c>
      <c r="M117" s="33" t="n"/>
    </row>
    <row r="118">
      <c r="A118" s="32" t="n">
        <v>46091</v>
      </c>
      <c r="B118" s="33" t="n"/>
      <c r="C118" s="34" t="n">
        <v>67157.39999999999</v>
      </c>
      <c r="D118" s="33" t="inlineStr">
        <is>
          <t>Pago de servicios</t>
        </is>
      </c>
      <c r="E118" s="32" t="n">
        <v>46091</v>
      </c>
      <c r="F118" s="33" t="n"/>
      <c r="G118" s="34" t="n">
        <v>67157.39999999999</v>
      </c>
      <c r="H118" s="33" t="inlineStr">
        <is>
          <t>MOVFONDOS - 7427</t>
        </is>
      </c>
      <c r="I118" s="34" t="n">
        <v>0</v>
      </c>
      <c r="J118" s="33" t="n">
        <v>0</v>
      </c>
      <c r="K118" s="35" t="inlineStr">
        <is>
          <t>EXACTO</t>
        </is>
      </c>
      <c r="L118" s="33" t="inlineStr">
        <is>
          <t>CONCILIADO</t>
        </is>
      </c>
      <c r="M118" s="33" t="n"/>
    </row>
    <row r="119">
      <c r="A119" s="32" t="n">
        <v>46091</v>
      </c>
      <c r="B119" s="34" t="n">
        <v>548459.8</v>
      </c>
      <c r="C119" s="33" t="n"/>
      <c r="D119" s="33" t="inlineStr">
        <is>
          <t>Pago a proveedores recibido</t>
        </is>
      </c>
      <c r="E119" s="32" t="n">
        <v>46091</v>
      </c>
      <c r="F119" s="34" t="n">
        <v>548459.8</v>
      </c>
      <c r="G119" s="33" t="n"/>
      <c r="H119" s="33" t="inlineStr">
        <is>
          <t>MOVFONDOS - 7447</t>
        </is>
      </c>
      <c r="I119" s="34" t="n">
        <v>0</v>
      </c>
      <c r="J119" s="33" t="n">
        <v>0</v>
      </c>
      <c r="K119" s="35" t="inlineStr">
        <is>
          <t>EXACTO</t>
        </is>
      </c>
      <c r="L119" s="33" t="inlineStr">
        <is>
          <t>CONCILIADO</t>
        </is>
      </c>
      <c r="M119" s="33" t="n"/>
    </row>
    <row r="120">
      <c r="A120" s="32" t="n">
        <v>46091</v>
      </c>
      <c r="B120" s="34" t="n">
        <v>23858.03</v>
      </c>
      <c r="C120" s="33" t="n"/>
      <c r="D120" s="33" t="inlineStr">
        <is>
          <t>Transf recibida cvu dif titular</t>
        </is>
      </c>
      <c r="E120" s="32" t="n">
        <v>46091</v>
      </c>
      <c r="F120" s="34" t="n">
        <v>23858.03</v>
      </c>
      <c r="G120" s="33" t="n"/>
      <c r="H120" s="33" t="inlineStr">
        <is>
          <t>MOVFONDOS - 7446</t>
        </is>
      </c>
      <c r="I120" s="34" t="n">
        <v>0</v>
      </c>
      <c r="J120" s="33" t="n">
        <v>0</v>
      </c>
      <c r="K120" s="35" t="inlineStr">
        <is>
          <t>EXACTO</t>
        </is>
      </c>
      <c r="L120" s="33" t="inlineStr">
        <is>
          <t>CONCILIADO</t>
        </is>
      </c>
      <c r="M120" s="33" t="n"/>
    </row>
    <row r="121">
      <c r="A121" s="32" t="n">
        <v>46091</v>
      </c>
      <c r="B121" s="34" t="n">
        <v>718310.78</v>
      </c>
      <c r="C121" s="33" t="n"/>
      <c r="D121" s="33" t="inlineStr">
        <is>
          <t>Transferencia recibida</t>
        </is>
      </c>
      <c r="E121" s="32" t="n">
        <v>46091</v>
      </c>
      <c r="F121" s="34" t="n">
        <v>718310.78</v>
      </c>
      <c r="G121" s="33" t="n"/>
      <c r="H121" s="33" t="inlineStr">
        <is>
          <t>MOVFONDOS - 7445</t>
        </is>
      </c>
      <c r="I121" s="34" t="n">
        <v>0</v>
      </c>
      <c r="J121" s="33" t="n">
        <v>0</v>
      </c>
      <c r="K121" s="35" t="inlineStr">
        <is>
          <t>EXACTO</t>
        </is>
      </c>
      <c r="L121" s="33" t="inlineStr">
        <is>
          <t>CONCILIADO</t>
        </is>
      </c>
      <c r="M121" s="33" t="n"/>
    </row>
    <row r="122">
      <c r="A122" s="32" t="n">
        <v>46091</v>
      </c>
      <c r="B122" s="34" t="n">
        <v>13001.79</v>
      </c>
      <c r="C122" s="33" t="n"/>
      <c r="D122" s="33" t="inlineStr">
        <is>
          <t>Transf recibida cvu dif titular</t>
        </is>
      </c>
      <c r="E122" s="32" t="n">
        <v>46091</v>
      </c>
      <c r="F122" s="34" t="n">
        <v>13001.79</v>
      </c>
      <c r="G122" s="33" t="n"/>
      <c r="H122" s="33" t="inlineStr">
        <is>
          <t>MOVFONDOS - 7444</t>
        </is>
      </c>
      <c r="I122" s="34" t="n">
        <v>0</v>
      </c>
      <c r="J122" s="33" t="n">
        <v>0</v>
      </c>
      <c r="K122" s="35" t="inlineStr">
        <is>
          <t>EXACTO</t>
        </is>
      </c>
      <c r="L122" s="33" t="inlineStr">
        <is>
          <t>CONCILIADO</t>
        </is>
      </c>
      <c r="M122" s="33" t="n"/>
    </row>
    <row r="123">
      <c r="A123" s="32" t="n">
        <v>46091</v>
      </c>
      <c r="B123" s="34" t="n">
        <v>26894.33</v>
      </c>
      <c r="C123" s="33" t="n"/>
      <c r="D123" s="33" t="inlineStr">
        <is>
          <t>Transf recibida cvu dif titular</t>
        </is>
      </c>
      <c r="E123" s="32" t="n">
        <v>46091</v>
      </c>
      <c r="F123" s="34" t="n">
        <v>26894.33</v>
      </c>
      <c r="G123" s="33" t="n"/>
      <c r="H123" s="33" t="inlineStr">
        <is>
          <t>MOVFONDOS - 7443</t>
        </is>
      </c>
      <c r="I123" s="34" t="n">
        <v>0</v>
      </c>
      <c r="J123" s="33" t="n">
        <v>0</v>
      </c>
      <c r="K123" s="35" t="inlineStr">
        <is>
          <t>EXACTO</t>
        </is>
      </c>
      <c r="L123" s="33" t="inlineStr">
        <is>
          <t>CONCILIADO</t>
        </is>
      </c>
      <c r="M123" s="33" t="n"/>
    </row>
    <row r="124">
      <c r="A124" s="32" t="n">
        <v>46092</v>
      </c>
      <c r="B124" s="34" t="n">
        <v>98555.03</v>
      </c>
      <c r="C124" s="33" t="n"/>
      <c r="D124" s="33" t="inlineStr">
        <is>
          <t>Debito automatico</t>
        </is>
      </c>
      <c r="E124" s="32" t="n">
        <v>46092</v>
      </c>
      <c r="F124" s="33" t="n"/>
      <c r="G124" s="34" t="n">
        <v>98555.03</v>
      </c>
      <c r="H124" s="33" t="inlineStr">
        <is>
          <t>PAGO - 2995</t>
        </is>
      </c>
      <c r="I124" s="34" t="n">
        <v>0</v>
      </c>
      <c r="J124" s="33" t="n">
        <v>0</v>
      </c>
      <c r="K124" s="35" t="inlineStr">
        <is>
          <t>EXACTO</t>
        </is>
      </c>
      <c r="L124" s="33" t="inlineStr">
        <is>
          <t>CONCILIADO</t>
        </is>
      </c>
      <c r="M124" s="33" t="n"/>
    </row>
    <row r="125">
      <c r="A125" s="32" t="n">
        <v>46092</v>
      </c>
      <c r="B125" s="33" t="n"/>
      <c r="C125" s="34" t="n">
        <v>123679.1</v>
      </c>
      <c r="D125" s="33" t="inlineStr">
        <is>
          <t>Pago comercios getnet nro.liq.</t>
        </is>
      </c>
      <c r="E125" s="32" t="n">
        <v>46092</v>
      </c>
      <c r="F125" s="34" t="n">
        <v>123679.1</v>
      </c>
      <c r="G125" s="33" t="n"/>
      <c r="H125" s="33" t="inlineStr">
        <is>
          <t>AGGETNET - 389</t>
        </is>
      </c>
      <c r="I125" s="34" t="n">
        <v>0</v>
      </c>
      <c r="J125" s="33" t="n">
        <v>0</v>
      </c>
      <c r="K125" s="35" t="inlineStr">
        <is>
          <t>EXACTO</t>
        </is>
      </c>
      <c r="L125" s="33" t="inlineStr">
        <is>
          <t>CONCILIADO</t>
        </is>
      </c>
      <c r="M125" s="33" t="n"/>
    </row>
    <row r="126">
      <c r="A126" s="32" t="n">
        <v>46092</v>
      </c>
      <c r="B126" s="33" t="n"/>
      <c r="C126" s="34" t="n">
        <v>696513.49</v>
      </c>
      <c r="D126" s="33" t="inlineStr">
        <is>
          <t>Pago a proveedores recibido</t>
        </is>
      </c>
      <c r="E126" s="32" t="n">
        <v>46092</v>
      </c>
      <c r="F126" s="34" t="n">
        <v>696513.49</v>
      </c>
      <c r="G126" s="33" t="n"/>
      <c r="H126" s="33" t="inlineStr">
        <is>
          <t>MOVFONDOS - 7451</t>
        </is>
      </c>
      <c r="I126" s="34" t="n">
        <v>0</v>
      </c>
      <c r="J126" s="33" t="n">
        <v>0</v>
      </c>
      <c r="K126" s="35" t="inlineStr">
        <is>
          <t>EXACTO</t>
        </is>
      </c>
      <c r="L126" s="33" t="inlineStr">
        <is>
          <t>CONCILIADO</t>
        </is>
      </c>
      <c r="M126" s="33" t="n"/>
    </row>
    <row r="127">
      <c r="A127" s="32" t="n">
        <v>46092</v>
      </c>
      <c r="B127" s="33" t="n"/>
      <c r="C127" s="34" t="n">
        <v>4113.12</v>
      </c>
      <c r="D127" s="33" t="inlineStr">
        <is>
          <t>Transferencia recibida</t>
        </is>
      </c>
      <c r="E127" s="32" t="n">
        <v>46092</v>
      </c>
      <c r="F127" s="34" t="n">
        <v>4113.12</v>
      </c>
      <c r="G127" s="33" t="n"/>
      <c r="H127" s="33" t="inlineStr">
        <is>
          <t>MOVFONDOS - 7452</t>
        </is>
      </c>
      <c r="I127" s="34" t="n">
        <v>0</v>
      </c>
      <c r="J127" s="33" t="n">
        <v>0</v>
      </c>
      <c r="K127" s="35" t="inlineStr">
        <is>
          <t>EXACTO</t>
        </is>
      </c>
      <c r="L127" s="33" t="inlineStr">
        <is>
          <t>CONCILIADO</t>
        </is>
      </c>
      <c r="M127" s="33" t="n"/>
    </row>
    <row r="128">
      <c r="A128" s="32" t="n">
        <v>46092</v>
      </c>
      <c r="B128" s="33" t="n"/>
      <c r="C128" s="34" t="n">
        <v>321928.5</v>
      </c>
      <c r="D128" s="33" t="inlineStr">
        <is>
          <t>Pago a proveedores recibido</t>
        </is>
      </c>
      <c r="E128" s="32" t="n">
        <v>46092</v>
      </c>
      <c r="F128" s="34" t="n">
        <v>321928.5</v>
      </c>
      <c r="G128" s="33" t="n"/>
      <c r="H128" s="33" t="inlineStr">
        <is>
          <t>MOVFONDOS - 7453</t>
        </is>
      </c>
      <c r="I128" s="34" t="n">
        <v>0</v>
      </c>
      <c r="J128" s="33" t="n">
        <v>0</v>
      </c>
      <c r="K128" s="35" t="inlineStr">
        <is>
          <t>EXACTO</t>
        </is>
      </c>
      <c r="L128" s="33" t="inlineStr">
        <is>
          <t>CONCILIADO</t>
        </is>
      </c>
      <c r="M128" s="33" t="n"/>
    </row>
    <row r="129">
      <c r="A129" s="32" t="n">
        <v>46092</v>
      </c>
      <c r="B129" s="33" t="n"/>
      <c r="C129" s="34" t="n">
        <v>1161787.7</v>
      </c>
      <c r="D129" s="33" t="inlineStr">
        <is>
          <t>Pago a proveedores recibido</t>
        </is>
      </c>
      <c r="E129" s="32" t="n">
        <v>46092</v>
      </c>
      <c r="F129" s="34" t="n">
        <v>1161787.7</v>
      </c>
      <c r="G129" s="33" t="n"/>
      <c r="H129" s="33" t="inlineStr">
        <is>
          <t>MOVFONDOS - 7455</t>
        </is>
      </c>
      <c r="I129" s="34" t="n">
        <v>0</v>
      </c>
      <c r="J129" s="33" t="n">
        <v>0</v>
      </c>
      <c r="K129" s="35" t="inlineStr">
        <is>
          <t>EXACTO</t>
        </is>
      </c>
      <c r="L129" s="33" t="inlineStr">
        <is>
          <t>CONCILIADO</t>
        </is>
      </c>
      <c r="M129" s="33" t="n"/>
    </row>
    <row r="130">
      <c r="A130" s="32" t="n">
        <v>46092</v>
      </c>
      <c r="B130" s="33" t="n"/>
      <c r="C130" s="34" t="n">
        <v>10485.64</v>
      </c>
      <c r="D130" s="33" t="inlineStr">
        <is>
          <t>Credito transf online banking emp</t>
        </is>
      </c>
      <c r="E130" s="32" t="n">
        <v>46092</v>
      </c>
      <c r="F130" s="34" t="n">
        <v>10485.64</v>
      </c>
      <c r="G130" s="33" t="n"/>
      <c r="H130" s="33" t="inlineStr">
        <is>
          <t>AGGETNET - 389</t>
        </is>
      </c>
      <c r="I130" s="34" t="n">
        <v>0</v>
      </c>
      <c r="J130" s="33" t="n">
        <v>0</v>
      </c>
      <c r="K130" s="35" t="inlineStr">
        <is>
          <t>EXACTO</t>
        </is>
      </c>
      <c r="L130" s="33" t="inlineStr">
        <is>
          <t>CONCILIADO</t>
        </is>
      </c>
      <c r="M130" s="33" t="n"/>
    </row>
    <row r="131">
      <c r="A131" s="32" t="n">
        <v>46092</v>
      </c>
      <c r="B131" s="33" t="n"/>
      <c r="C131" s="34" t="n">
        <v>14175.15</v>
      </c>
      <c r="D131" s="33" t="inlineStr">
        <is>
          <t>Transferencia recibida</t>
        </is>
      </c>
      <c r="E131" s="32" t="n">
        <v>46092</v>
      </c>
      <c r="F131" s="34" t="n">
        <v>14175.15</v>
      </c>
      <c r="G131" s="33" t="n"/>
      <c r="H131" s="33" t="inlineStr">
        <is>
          <t>MOVFONDOS - 7456</t>
        </is>
      </c>
      <c r="I131" s="34" t="n">
        <v>0</v>
      </c>
      <c r="J131" s="33" t="n">
        <v>0</v>
      </c>
      <c r="K131" s="35" t="inlineStr">
        <is>
          <t>EXACTO</t>
        </is>
      </c>
      <c r="L131" s="33" t="inlineStr">
        <is>
          <t>CONCILIADO</t>
        </is>
      </c>
      <c r="M131" s="33" t="n"/>
    </row>
    <row r="132">
      <c r="A132" s="32" t="n">
        <v>46092</v>
      </c>
      <c r="B132" s="33" t="n"/>
      <c r="C132" s="34" t="n">
        <v>577419.27</v>
      </c>
      <c r="D132" s="33" t="inlineStr">
        <is>
          <t>Pago a proveedores recibido</t>
        </is>
      </c>
      <c r="E132" s="32" t="n">
        <v>46092</v>
      </c>
      <c r="F132" s="34" t="n">
        <v>577419.27</v>
      </c>
      <c r="G132" s="33" t="n"/>
      <c r="H132" s="33" t="inlineStr">
        <is>
          <t>MOVFONDOS - 7457</t>
        </is>
      </c>
      <c r="I132" s="34" t="n">
        <v>0</v>
      </c>
      <c r="J132" s="33" t="n">
        <v>0</v>
      </c>
      <c r="K132" s="35" t="inlineStr">
        <is>
          <t>EXACTO</t>
        </is>
      </c>
      <c r="L132" s="33" t="inlineStr">
        <is>
          <t>CONCILIADO</t>
        </is>
      </c>
      <c r="M132" s="33" t="n"/>
    </row>
    <row r="133">
      <c r="A133" s="32" t="n">
        <v>46092</v>
      </c>
      <c r="B133" s="33" t="n"/>
      <c r="C133" s="34" t="n">
        <v>978202.4</v>
      </c>
      <c r="D133" s="33" t="inlineStr">
        <is>
          <t>Pago a proveedores recibido</t>
        </is>
      </c>
      <c r="E133" s="32" t="n">
        <v>46092</v>
      </c>
      <c r="F133" s="34" t="n">
        <v>978202.4</v>
      </c>
      <c r="G133" s="33" t="n"/>
      <c r="H133" s="33" t="inlineStr">
        <is>
          <t>MOVFONDOS - 7458</t>
        </is>
      </c>
      <c r="I133" s="34" t="n">
        <v>0</v>
      </c>
      <c r="J133" s="33" t="n">
        <v>0</v>
      </c>
      <c r="K133" s="35" t="inlineStr">
        <is>
          <t>EXACTO</t>
        </is>
      </c>
      <c r="L133" s="33" t="inlineStr">
        <is>
          <t>CONCILIADO</t>
        </is>
      </c>
      <c r="M133" s="33" t="n"/>
    </row>
    <row r="134">
      <c r="A134" s="32" t="n">
        <v>46092</v>
      </c>
      <c r="B134" s="33" t="n"/>
      <c r="C134" s="34" t="n">
        <v>565773.0699999999</v>
      </c>
      <c r="D134" s="33" t="inlineStr">
        <is>
          <t>Transferencia recibida</t>
        </is>
      </c>
      <c r="E134" s="32" t="n">
        <v>46092</v>
      </c>
      <c r="F134" s="34" t="n">
        <v>565773.0699999999</v>
      </c>
      <c r="G134" s="33" t="n"/>
      <c r="H134" s="33" t="inlineStr">
        <is>
          <t>MOVFONDOS - 7460</t>
        </is>
      </c>
      <c r="I134" s="34" t="n">
        <v>0</v>
      </c>
      <c r="J134" s="33" t="n">
        <v>0</v>
      </c>
      <c r="K134" s="35" t="inlineStr">
        <is>
          <t>EXACTO</t>
        </is>
      </c>
      <c r="L134" s="33" t="inlineStr">
        <is>
          <t>CONCILIADO</t>
        </is>
      </c>
      <c r="M134" s="33" t="n"/>
    </row>
    <row r="135">
      <c r="A135" s="32" t="n">
        <v>46092</v>
      </c>
      <c r="B135" s="34" t="n">
        <v>4500000</v>
      </c>
      <c r="C135" s="33" t="n"/>
      <c r="D135" s="33" t="inlineStr">
        <is>
          <t>Suscripcion fondos comunes invers</t>
        </is>
      </c>
      <c r="E135" s="32" t="n">
        <v>46092</v>
      </c>
      <c r="F135" s="33" t="n"/>
      <c r="G135" s="34" t="n">
        <v>4500000</v>
      </c>
      <c r="H135" s="33" t="inlineStr">
        <is>
          <t>MOVFONDOS - 7459</t>
        </is>
      </c>
      <c r="I135" s="34" t="n">
        <v>0</v>
      </c>
      <c r="J135" s="33" t="n">
        <v>0</v>
      </c>
      <c r="K135" s="35" t="inlineStr">
        <is>
          <t>EXACTO</t>
        </is>
      </c>
      <c r="L135" s="33" t="inlineStr">
        <is>
          <t>CONCILIADO</t>
        </is>
      </c>
      <c r="M135" s="33" t="n"/>
    </row>
    <row r="136">
      <c r="A136" s="32" t="n">
        <v>46093</v>
      </c>
      <c r="B136" s="33" t="n"/>
      <c r="C136" s="34" t="n">
        <v>163586.94</v>
      </c>
      <c r="D136" s="33" t="inlineStr">
        <is>
          <t>Pago comercios getnet nro.liq.</t>
        </is>
      </c>
      <c r="E136" s="32" t="n">
        <v>46093</v>
      </c>
      <c r="F136" s="34" t="n">
        <v>163586.94</v>
      </c>
      <c r="G136" s="33" t="n"/>
      <c r="H136" s="33" t="inlineStr">
        <is>
          <t>AGGETNET - 390</t>
        </is>
      </c>
      <c r="I136" s="34" t="n">
        <v>0</v>
      </c>
      <c r="J136" s="33" t="n">
        <v>0</v>
      </c>
      <c r="K136" s="35" t="inlineStr">
        <is>
          <t>EXACTO</t>
        </is>
      </c>
      <c r="L136" s="33" t="inlineStr">
        <is>
          <t>CONCILIADO</t>
        </is>
      </c>
      <c r="M136" s="33" t="n"/>
    </row>
    <row r="137">
      <c r="A137" s="32" t="n">
        <v>46093</v>
      </c>
      <c r="B137" s="33" t="n"/>
      <c r="C137" s="34" t="n">
        <v>719644.91</v>
      </c>
      <c r="D137" s="33" t="inlineStr">
        <is>
          <t>Pago comercios getnet nro.liq.</t>
        </is>
      </c>
      <c r="E137" s="32" t="n">
        <v>46093</v>
      </c>
      <c r="F137" s="34" t="n">
        <v>719644.91</v>
      </c>
      <c r="G137" s="33" t="n"/>
      <c r="H137" s="33" t="inlineStr">
        <is>
          <t>AGGETNET - 390</t>
        </is>
      </c>
      <c r="I137" s="34" t="n">
        <v>0</v>
      </c>
      <c r="J137" s="33" t="n">
        <v>0</v>
      </c>
      <c r="K137" s="35" t="inlineStr">
        <is>
          <t>EXACTO</t>
        </is>
      </c>
      <c r="L137" s="33" t="inlineStr">
        <is>
          <t>CONCILIADO</t>
        </is>
      </c>
      <c r="M137" s="33" t="n"/>
    </row>
    <row r="138">
      <c r="A138" s="32" t="n">
        <v>46093</v>
      </c>
      <c r="B138" s="33" t="n"/>
      <c r="C138" s="34" t="n">
        <v>2096323.89</v>
      </c>
      <c r="D138" s="33" t="inlineStr">
        <is>
          <t>Transferencia recibida</t>
        </is>
      </c>
      <c r="E138" s="32" t="n">
        <v>46093</v>
      </c>
      <c r="F138" s="34" t="n">
        <v>2096323.89</v>
      </c>
      <c r="G138" s="33" t="n"/>
      <c r="H138" s="33" t="inlineStr">
        <is>
          <t>MOVFONDOS - 7467</t>
        </is>
      </c>
      <c r="I138" s="34" t="n">
        <v>0</v>
      </c>
      <c r="J138" s="33" t="n">
        <v>0</v>
      </c>
      <c r="K138" s="35" t="inlineStr">
        <is>
          <t>EXACTO</t>
        </is>
      </c>
      <c r="L138" s="33" t="inlineStr">
        <is>
          <t>CONCILIADO</t>
        </is>
      </c>
      <c r="M138" s="33" t="n"/>
    </row>
    <row r="139">
      <c r="A139" s="32" t="n">
        <v>46093</v>
      </c>
      <c r="B139" s="33" t="n"/>
      <c r="C139" s="34" t="n">
        <v>1000000</v>
      </c>
      <c r="D139" s="33" t="inlineStr">
        <is>
          <t>Transf recibida cvu mismo titular</t>
        </is>
      </c>
      <c r="E139" s="32" t="n">
        <v>46093</v>
      </c>
      <c r="F139" s="34" t="n">
        <v>1000000</v>
      </c>
      <c r="G139" s="33" t="n"/>
      <c r="H139" s="33" t="inlineStr">
        <is>
          <t>MOVFONDOS - 7465</t>
        </is>
      </c>
      <c r="I139" s="34" t="n">
        <v>0</v>
      </c>
      <c r="J139" s="33" t="n">
        <v>0</v>
      </c>
      <c r="K139" s="35" t="inlineStr">
        <is>
          <t>EXACTO</t>
        </is>
      </c>
      <c r="L139" s="33" t="inlineStr">
        <is>
          <t>CONCILIADO</t>
        </is>
      </c>
      <c r="M139" s="33" t="n"/>
    </row>
    <row r="140">
      <c r="A140" s="32" t="n">
        <v>46093</v>
      </c>
      <c r="B140" s="33" t="n"/>
      <c r="C140" s="34" t="n">
        <v>225324.19</v>
      </c>
      <c r="D140" s="33" t="inlineStr">
        <is>
          <t>Transferencia recibida</t>
        </is>
      </c>
      <c r="E140" s="32" t="n">
        <v>46093</v>
      </c>
      <c r="F140" s="34" t="n">
        <v>225324.19</v>
      </c>
      <c r="G140" s="33" t="n"/>
      <c r="H140" s="33" t="inlineStr">
        <is>
          <t>MOVFONDOS - 7468</t>
        </is>
      </c>
      <c r="I140" s="34" t="n">
        <v>0</v>
      </c>
      <c r="J140" s="33" t="n">
        <v>0</v>
      </c>
      <c r="K140" s="35" t="inlineStr">
        <is>
          <t>EXACTO</t>
        </is>
      </c>
      <c r="L140" s="33" t="inlineStr">
        <is>
          <t>CONCILIADO</t>
        </is>
      </c>
      <c r="M140" s="33" t="n"/>
    </row>
    <row r="141">
      <c r="A141" s="32" t="n">
        <v>46093</v>
      </c>
      <c r="B141" s="34" t="n">
        <v>500000</v>
      </c>
      <c r="C141" s="33" t="n"/>
      <c r="D141" s="33" t="inlineStr">
        <is>
          <t>Transferencia realizada</t>
        </is>
      </c>
      <c r="E141" s="32" t="n">
        <v>46093</v>
      </c>
      <c r="F141" s="33" t="n"/>
      <c r="G141" s="34" t="n">
        <v>500000</v>
      </c>
      <c r="H141" s="33" t="inlineStr">
        <is>
          <t>PAGO - 3007</t>
        </is>
      </c>
      <c r="I141" s="34" t="n">
        <v>0</v>
      </c>
      <c r="J141" s="33" t="n">
        <v>0</v>
      </c>
      <c r="K141" s="35" t="inlineStr">
        <is>
          <t>EXACTO</t>
        </is>
      </c>
      <c r="L141" s="33" t="inlineStr">
        <is>
          <t>CONCILIADO</t>
        </is>
      </c>
      <c r="M141" s="33" t="n"/>
    </row>
    <row r="142">
      <c r="A142" s="32" t="n">
        <v>46093</v>
      </c>
      <c r="B142" s="34" t="n">
        <v>210267.75</v>
      </c>
      <c r="C142" s="33" t="n"/>
      <c r="D142" s="33" t="inlineStr">
        <is>
          <t>Transferencia realizada</t>
        </is>
      </c>
      <c r="E142" s="32" t="n">
        <v>46093</v>
      </c>
      <c r="F142" s="33" t="n"/>
      <c r="G142" s="34" t="n">
        <v>210267.75</v>
      </c>
      <c r="H142" s="33" t="inlineStr">
        <is>
          <t>PAGO - 3000</t>
        </is>
      </c>
      <c r="I142" s="34" t="n">
        <v>0</v>
      </c>
      <c r="J142" s="33" t="n">
        <v>0</v>
      </c>
      <c r="K142" s="35" t="inlineStr">
        <is>
          <t>EXACTO</t>
        </is>
      </c>
      <c r="L142" s="33" t="inlineStr">
        <is>
          <t>CONCILIADO</t>
        </is>
      </c>
      <c r="M142" s="33" t="n"/>
    </row>
    <row r="143">
      <c r="A143" s="32" t="n">
        <v>46093</v>
      </c>
      <c r="B143" s="34" t="n">
        <v>49965.71</v>
      </c>
      <c r="C143" s="33" t="n"/>
      <c r="D143" s="33" t="inlineStr">
        <is>
          <t>Debito transf. online banking emp</t>
        </is>
      </c>
      <c r="E143" s="32" t="n">
        <v>46093</v>
      </c>
      <c r="F143" s="33" t="n"/>
      <c r="G143" s="34" t="n">
        <v>49965.71</v>
      </c>
      <c r="H143" s="33" t="inlineStr">
        <is>
          <t>PAGO - 3001</t>
        </is>
      </c>
      <c r="I143" s="34" t="n">
        <v>0</v>
      </c>
      <c r="J143" s="33" t="n">
        <v>0</v>
      </c>
      <c r="K143" s="35" t="inlineStr">
        <is>
          <t>EXACTO</t>
        </is>
      </c>
      <c r="L143" s="33" t="inlineStr">
        <is>
          <t>CONCILIADO</t>
        </is>
      </c>
      <c r="M143" s="33" t="n"/>
    </row>
    <row r="144">
      <c r="A144" s="32" t="n">
        <v>46093</v>
      </c>
      <c r="B144" s="34" t="n">
        <v>902000</v>
      </c>
      <c r="C144" s="33" t="n"/>
      <c r="D144" s="33" t="inlineStr">
        <is>
          <t>Debito transf. online banking emp</t>
        </is>
      </c>
      <c r="E144" s="32" t="n">
        <v>46093</v>
      </c>
      <c r="F144" s="33" t="n"/>
      <c r="G144" s="34" t="n">
        <v>902000</v>
      </c>
      <c r="H144" s="33" t="inlineStr">
        <is>
          <t>PAGO - 2999</t>
        </is>
      </c>
      <c r="I144" s="34" t="n">
        <v>0</v>
      </c>
      <c r="J144" s="33" t="n">
        <v>0</v>
      </c>
      <c r="K144" s="35" t="inlineStr">
        <is>
          <t>EXACTO</t>
        </is>
      </c>
      <c r="L144" s="33" t="inlineStr">
        <is>
          <t>CONCILIADO</t>
        </is>
      </c>
      <c r="M144" s="33" t="n"/>
    </row>
    <row r="145">
      <c r="A145" s="32" t="n">
        <v>46093</v>
      </c>
      <c r="B145" s="34" t="n">
        <v>487018.92</v>
      </c>
      <c r="C145" s="33" t="n"/>
      <c r="D145" s="33" t="inlineStr">
        <is>
          <t>Transferencia realizada</t>
        </is>
      </c>
      <c r="E145" s="32" t="n">
        <v>46093</v>
      </c>
      <c r="F145" s="33" t="n"/>
      <c r="G145" s="34" t="n">
        <v>487018.92</v>
      </c>
      <c r="H145" s="33" t="inlineStr">
        <is>
          <t>PAGO - 3005</t>
        </is>
      </c>
      <c r="I145" s="34" t="n">
        <v>0</v>
      </c>
      <c r="J145" s="33" t="n">
        <v>0</v>
      </c>
      <c r="K145" s="35" t="inlineStr">
        <is>
          <t>EXACTO</t>
        </is>
      </c>
      <c r="L145" s="33" t="inlineStr">
        <is>
          <t>CONCILIADO</t>
        </is>
      </c>
      <c r="M145" s="33" t="n"/>
    </row>
    <row r="146">
      <c r="A146" s="32" t="n">
        <v>46093</v>
      </c>
      <c r="B146" s="34" t="n">
        <v>623535.9300000001</v>
      </c>
      <c r="C146" s="33" t="n"/>
      <c r="D146" s="33" t="inlineStr">
        <is>
          <t>Transferencia realizada</t>
        </is>
      </c>
      <c r="E146" s="32" t="n">
        <v>46093</v>
      </c>
      <c r="F146" s="33" t="n"/>
      <c r="G146" s="34" t="n">
        <v>623535.9300000001</v>
      </c>
      <c r="H146" s="33" t="inlineStr">
        <is>
          <t>PAGO - 3003</t>
        </is>
      </c>
      <c r="I146" s="34" t="n">
        <v>0</v>
      </c>
      <c r="J146" s="33" t="n">
        <v>0</v>
      </c>
      <c r="K146" s="35" t="inlineStr">
        <is>
          <t>EXACTO</t>
        </is>
      </c>
      <c r="L146" s="33" t="inlineStr">
        <is>
          <t>CONCILIADO</t>
        </is>
      </c>
      <c r="M146" s="33" t="n"/>
    </row>
    <row r="147">
      <c r="A147" s="32" t="n">
        <v>46093</v>
      </c>
      <c r="B147" s="34" t="n">
        <v>490959.39</v>
      </c>
      <c r="C147" s="33" t="n"/>
      <c r="D147" s="33" t="inlineStr">
        <is>
          <t>Transferencia realizada</t>
        </is>
      </c>
      <c r="E147" s="32" t="n">
        <v>46093</v>
      </c>
      <c r="F147" s="33" t="n"/>
      <c r="G147" s="34" t="n">
        <v>490959.39</v>
      </c>
      <c r="H147" s="33" t="inlineStr">
        <is>
          <t>PAGO - 3004</t>
        </is>
      </c>
      <c r="I147" s="34" t="n">
        <v>0</v>
      </c>
      <c r="J147" s="33" t="n">
        <v>0</v>
      </c>
      <c r="K147" s="35" t="inlineStr">
        <is>
          <t>EXACTO</t>
        </is>
      </c>
      <c r="L147" s="33" t="inlineStr">
        <is>
          <t>CONCILIADO</t>
        </is>
      </c>
      <c r="M147" s="33" t="n"/>
    </row>
    <row r="148">
      <c r="A148" s="32" t="n">
        <v>46093</v>
      </c>
      <c r="B148" s="34" t="n">
        <v>1436365.77</v>
      </c>
      <c r="C148" s="33" t="n"/>
      <c r="D148" s="33" t="inlineStr">
        <is>
          <t>Transferencia realizada</t>
        </is>
      </c>
      <c r="E148" s="32" t="n">
        <v>46093</v>
      </c>
      <c r="F148" s="33" t="n"/>
      <c r="G148" s="34" t="n">
        <v>1436365.77</v>
      </c>
      <c r="H148" s="33" t="inlineStr">
        <is>
          <t>PAGO - 3002</t>
        </is>
      </c>
      <c r="I148" s="34" t="n">
        <v>0</v>
      </c>
      <c r="J148" s="33" t="n">
        <v>0</v>
      </c>
      <c r="K148" s="35" t="inlineStr">
        <is>
          <t>EXACTO</t>
        </is>
      </c>
      <c r="L148" s="33" t="inlineStr">
        <is>
          <t>CONCILIADO</t>
        </is>
      </c>
      <c r="M148" s="33" t="n"/>
    </row>
    <row r="149">
      <c r="A149" s="32" t="n">
        <v>46093</v>
      </c>
      <c r="B149" s="33" t="n"/>
      <c r="C149" s="34" t="n">
        <v>186936.66</v>
      </c>
      <c r="D149" s="33" t="inlineStr">
        <is>
          <t>Transferencia recibida</t>
        </is>
      </c>
      <c r="E149" s="32" t="n">
        <v>46093</v>
      </c>
      <c r="F149" s="34" t="n">
        <v>186936.66</v>
      </c>
      <c r="G149" s="33" t="n"/>
      <c r="H149" s="33" t="inlineStr">
        <is>
          <t>MOVFONDOS - 7471</t>
        </is>
      </c>
      <c r="I149" s="34" t="n">
        <v>0</v>
      </c>
      <c r="J149" s="33" t="n">
        <v>0</v>
      </c>
      <c r="K149" s="35" t="inlineStr">
        <is>
          <t>EXACTO</t>
        </is>
      </c>
      <c r="L149" s="33" t="inlineStr">
        <is>
          <t>CONCILIADO</t>
        </is>
      </c>
      <c r="M149" s="33" t="n"/>
    </row>
    <row r="150">
      <c r="A150" s="32" t="n">
        <v>46093</v>
      </c>
      <c r="B150" s="33" t="n"/>
      <c r="C150" s="34" t="n">
        <v>10786.55</v>
      </c>
      <c r="D150" s="33" t="inlineStr">
        <is>
          <t>Transferencia recibida</t>
        </is>
      </c>
      <c r="E150" s="32" t="n">
        <v>46093</v>
      </c>
      <c r="F150" s="34" t="n">
        <v>10786.55</v>
      </c>
      <c r="G150" s="33" t="n"/>
      <c r="H150" s="33" t="inlineStr">
        <is>
          <t>MOVFONDOS - 7472</t>
        </is>
      </c>
      <c r="I150" s="34" t="n">
        <v>0</v>
      </c>
      <c r="J150" s="33" t="n">
        <v>0</v>
      </c>
      <c r="K150" s="35" t="inlineStr">
        <is>
          <t>EXACTO</t>
        </is>
      </c>
      <c r="L150" s="33" t="inlineStr">
        <is>
          <t>CONCILIADO</t>
        </is>
      </c>
      <c r="M150" s="33" t="n"/>
    </row>
    <row r="151">
      <c r="A151" s="32" t="n">
        <v>46093</v>
      </c>
      <c r="B151" s="33" t="n"/>
      <c r="C151" s="34" t="n">
        <v>3034757.92</v>
      </c>
      <c r="D151" s="33" t="inlineStr">
        <is>
          <t>Pago a proveedores recibido</t>
        </is>
      </c>
      <c r="E151" s="32" t="n">
        <v>46093</v>
      </c>
      <c r="F151" s="34" t="n">
        <v>3034757.92</v>
      </c>
      <c r="G151" s="33" t="n"/>
      <c r="H151" s="33" t="inlineStr">
        <is>
          <t>MOVFONDOS - 7473</t>
        </is>
      </c>
      <c r="I151" s="34" t="n">
        <v>0</v>
      </c>
      <c r="J151" s="33" t="n">
        <v>0</v>
      </c>
      <c r="K151" s="35" t="inlineStr">
        <is>
          <t>EXACTO</t>
        </is>
      </c>
      <c r="L151" s="33" t="inlineStr">
        <is>
          <t>CONCILIADO</t>
        </is>
      </c>
      <c r="M151" s="33" t="n"/>
    </row>
    <row r="152">
      <c r="A152" s="32" t="n">
        <v>46093</v>
      </c>
      <c r="B152" s="33" t="n"/>
      <c r="C152" s="34" t="n">
        <v>1269139.2</v>
      </c>
      <c r="D152" s="33" t="inlineStr">
        <is>
          <t>Transferencia recibida</t>
        </is>
      </c>
      <c r="E152" s="32" t="n">
        <v>46093</v>
      </c>
      <c r="F152" s="34" t="n">
        <v>1269139.2</v>
      </c>
      <c r="G152" s="33" t="n"/>
      <c r="H152" s="33" t="inlineStr">
        <is>
          <t>MOVFONDOS - 7474</t>
        </is>
      </c>
      <c r="I152" s="34" t="n">
        <v>0</v>
      </c>
      <c r="J152" s="33" t="n">
        <v>0</v>
      </c>
      <c r="K152" s="35" t="inlineStr">
        <is>
          <t>EXACTO</t>
        </is>
      </c>
      <c r="L152" s="33" t="inlineStr">
        <is>
          <t>CONCILIADO</t>
        </is>
      </c>
      <c r="M152" s="33" t="n"/>
    </row>
    <row r="153">
      <c r="A153" s="32" t="n">
        <v>46093</v>
      </c>
      <c r="B153" s="33" t="n"/>
      <c r="C153" s="34" t="n">
        <v>998082.4</v>
      </c>
      <c r="D153" s="33" t="inlineStr">
        <is>
          <t>Pago a proveedores recibido</t>
        </is>
      </c>
      <c r="E153" s="32" t="n">
        <v>46093</v>
      </c>
      <c r="F153" s="34" t="n">
        <v>998082.4</v>
      </c>
      <c r="G153" s="33" t="n"/>
      <c r="H153" s="33" t="inlineStr">
        <is>
          <t>MOVFONDOS - 7478</t>
        </is>
      </c>
      <c r="I153" s="34" t="n">
        <v>0</v>
      </c>
      <c r="J153" s="33" t="n">
        <v>0</v>
      </c>
      <c r="K153" s="35" t="inlineStr">
        <is>
          <t>EXACTO</t>
        </is>
      </c>
      <c r="L153" s="33" t="inlineStr">
        <is>
          <t>CONCILIADO</t>
        </is>
      </c>
      <c r="M153" s="33" t="n"/>
    </row>
    <row r="154">
      <c r="A154" s="32" t="n">
        <v>46093</v>
      </c>
      <c r="B154" s="33" t="n"/>
      <c r="C154" s="34" t="n">
        <v>1744696.39</v>
      </c>
      <c r="D154" s="33" t="inlineStr">
        <is>
          <t>Credito transf online banking emp</t>
        </is>
      </c>
      <c r="E154" s="32" t="n">
        <v>46093</v>
      </c>
      <c r="F154" s="34" t="n">
        <v>1744696.39</v>
      </c>
      <c r="G154" s="33" t="n"/>
      <c r="H154" s="33" t="inlineStr">
        <is>
          <t>MOVFONDOS - 7479</t>
        </is>
      </c>
      <c r="I154" s="34" t="n">
        <v>0</v>
      </c>
      <c r="J154" s="33" t="n">
        <v>0</v>
      </c>
      <c r="K154" s="35" t="inlineStr">
        <is>
          <t>EXACTO</t>
        </is>
      </c>
      <c r="L154" s="33" t="inlineStr">
        <is>
          <t>CONCILIADO</t>
        </is>
      </c>
      <c r="M154" s="33" t="n"/>
    </row>
    <row r="155">
      <c r="A155" s="32" t="n">
        <v>46093</v>
      </c>
      <c r="B155" s="33" t="n"/>
      <c r="C155" s="34" t="n">
        <v>764504.9399999999</v>
      </c>
      <c r="D155" s="33" t="inlineStr">
        <is>
          <t>Credito transf online banking emp</t>
        </is>
      </c>
      <c r="E155" s="32" t="n">
        <v>46093</v>
      </c>
      <c r="F155" s="34" t="n">
        <v>764504.9399999999</v>
      </c>
      <c r="G155" s="33" t="n"/>
      <c r="H155" s="33" t="inlineStr">
        <is>
          <t>MOVFONDOS - 7480</t>
        </is>
      </c>
      <c r="I155" s="34" t="n">
        <v>0</v>
      </c>
      <c r="J155" s="33" t="n">
        <v>0</v>
      </c>
      <c r="K155" s="35" t="inlineStr">
        <is>
          <t>EXACTO</t>
        </is>
      </c>
      <c r="L155" s="33" t="inlineStr">
        <is>
          <t>CONCILIADO</t>
        </is>
      </c>
      <c r="M155" s="33" t="n"/>
    </row>
    <row r="156">
      <c r="A156" s="32" t="n">
        <v>46093</v>
      </c>
      <c r="B156" s="33" t="n"/>
      <c r="C156" s="34" t="n">
        <v>3419538.53</v>
      </c>
      <c r="D156" s="33" t="inlineStr">
        <is>
          <t>Pago a proveedores recibido</t>
        </is>
      </c>
      <c r="E156" s="32" t="n">
        <v>46093</v>
      </c>
      <c r="F156" s="34" t="n">
        <v>3419538.53</v>
      </c>
      <c r="G156" s="33" t="n"/>
      <c r="H156" s="33" t="inlineStr">
        <is>
          <t>MOVFONDOS - 7486</t>
        </is>
      </c>
      <c r="I156" s="34" t="n">
        <v>0</v>
      </c>
      <c r="J156" s="33" t="n">
        <v>0</v>
      </c>
      <c r="K156" s="35" t="inlineStr">
        <is>
          <t>EXACTO</t>
        </is>
      </c>
      <c r="L156" s="33" t="inlineStr">
        <is>
          <t>CONCILIADO</t>
        </is>
      </c>
      <c r="M156" s="33" t="n"/>
    </row>
    <row r="157">
      <c r="A157" s="32" t="n">
        <v>46093</v>
      </c>
      <c r="B157" s="34" t="n">
        <v>11000000</v>
      </c>
      <c r="C157" s="33" t="n"/>
      <c r="D157" s="33" t="inlineStr">
        <is>
          <t>Suscripcion fondos comunes invers</t>
        </is>
      </c>
      <c r="E157" s="32" t="n">
        <v>46093</v>
      </c>
      <c r="F157" s="33" t="n"/>
      <c r="G157" s="34" t="n">
        <v>11000000</v>
      </c>
      <c r="H157" s="33" t="inlineStr">
        <is>
          <t>MOVFONDOS - 7485</t>
        </is>
      </c>
      <c r="I157" s="34" t="n">
        <v>0</v>
      </c>
      <c r="J157" s="33" t="n">
        <v>0</v>
      </c>
      <c r="K157" s="35" t="inlineStr">
        <is>
          <t>EXACTO</t>
        </is>
      </c>
      <c r="L157" s="33" t="inlineStr">
        <is>
          <t>CONCILIADO</t>
        </is>
      </c>
      <c r="M157" s="33" t="n"/>
    </row>
    <row r="158">
      <c r="A158" s="32" t="n">
        <v>46093</v>
      </c>
      <c r="B158" s="33" t="n"/>
      <c r="C158" s="34" t="n">
        <v>276038.2</v>
      </c>
      <c r="D158" s="33" t="inlineStr">
        <is>
          <t>Pago a proveedores recibido</t>
        </is>
      </c>
      <c r="E158" s="32" t="n">
        <v>46093</v>
      </c>
      <c r="F158" s="34" t="n">
        <v>276038.2</v>
      </c>
      <c r="G158" s="33" t="n"/>
      <c r="H158" s="33" t="inlineStr">
        <is>
          <t>MOVFONDOS - 7487</t>
        </is>
      </c>
      <c r="I158" s="34" t="n">
        <v>0</v>
      </c>
      <c r="J158" s="33" t="n">
        <v>0</v>
      </c>
      <c r="K158" s="35" t="inlineStr">
        <is>
          <t>EXACTO</t>
        </is>
      </c>
      <c r="L158" s="33" t="inlineStr">
        <is>
          <t>CONCILIADO</t>
        </is>
      </c>
      <c r="M158" s="33" t="n"/>
    </row>
    <row r="159">
      <c r="A159" s="32" t="n">
        <v>46093</v>
      </c>
      <c r="B159" s="33" t="n"/>
      <c r="C159" s="34" t="n">
        <v>3189352.5</v>
      </c>
      <c r="D159" s="33" t="inlineStr">
        <is>
          <t>Deposito echeq canje interno 24hs</t>
        </is>
      </c>
      <c r="E159" s="32" t="n">
        <v>46093</v>
      </c>
      <c r="F159" s="34" t="n">
        <v>3189352.5</v>
      </c>
      <c r="G159" s="33" t="n"/>
      <c r="H159" s="33" t="inlineStr">
        <is>
          <t>MOVFONDOS - 7497</t>
        </is>
      </c>
      <c r="I159" s="34" t="n">
        <v>0</v>
      </c>
      <c r="J159" s="33" t="n">
        <v>0</v>
      </c>
      <c r="K159" s="35" t="inlineStr">
        <is>
          <t>EXACTO</t>
        </is>
      </c>
      <c r="L159" s="33" t="inlineStr">
        <is>
          <t>CONCILIADO</t>
        </is>
      </c>
      <c r="M159" s="33" t="n"/>
    </row>
    <row r="160">
      <c r="A160" s="32" t="n">
        <v>46094</v>
      </c>
      <c r="B160" s="33" t="n"/>
      <c r="C160" s="34" t="n">
        <v>16740.1</v>
      </c>
      <c r="D160" s="33" t="inlineStr">
        <is>
          <t>Pago comercios getnet nro.liq.</t>
        </is>
      </c>
      <c r="E160" s="32" t="n">
        <v>46094</v>
      </c>
      <c r="F160" s="34" t="n">
        <v>16740.1</v>
      </c>
      <c r="G160" s="33" t="n"/>
      <c r="H160" s="33" t="inlineStr">
        <is>
          <t>AGGETNET - 391</t>
        </is>
      </c>
      <c r="I160" s="34" t="n">
        <v>0</v>
      </c>
      <c r="J160" s="33" t="n">
        <v>0</v>
      </c>
      <c r="K160" s="35" t="inlineStr">
        <is>
          <t>EXACTO</t>
        </is>
      </c>
      <c r="L160" s="33" t="inlineStr">
        <is>
          <t>CONCILIADO</t>
        </is>
      </c>
      <c r="M160" s="33" t="n"/>
    </row>
    <row r="161">
      <c r="A161" s="32" t="n">
        <v>46094</v>
      </c>
      <c r="B161" s="33" t="n"/>
      <c r="C161" s="34" t="n">
        <v>17194.12</v>
      </c>
      <c r="D161" s="33" t="inlineStr">
        <is>
          <t>Pago a proveedores</t>
        </is>
      </c>
      <c r="E161" s="32" t="n">
        <v>46094</v>
      </c>
      <c r="F161" s="34" t="n">
        <v>17194.12</v>
      </c>
      <c r="G161" s="33" t="n"/>
      <c r="H161" s="33" t="inlineStr">
        <is>
          <t>MOVFONDOS - 7489</t>
        </is>
      </c>
      <c r="I161" s="34" t="n">
        <v>0</v>
      </c>
      <c r="J161" s="33" t="n">
        <v>0</v>
      </c>
      <c r="K161" s="35" t="inlineStr">
        <is>
          <t>EXACTO</t>
        </is>
      </c>
      <c r="L161" s="33" t="inlineStr">
        <is>
          <t>CONCILIADO</t>
        </is>
      </c>
      <c r="M161" s="33" t="n"/>
    </row>
    <row r="162">
      <c r="A162" s="32" t="n">
        <v>46094</v>
      </c>
      <c r="B162" s="33" t="n"/>
      <c r="C162" s="34" t="n">
        <v>144791.23</v>
      </c>
      <c r="D162" s="33" t="inlineStr">
        <is>
          <t>Pago comercios getnet nro.liq.</t>
        </is>
      </c>
      <c r="E162" s="32" t="n">
        <v>46094</v>
      </c>
      <c r="F162" s="34" t="n">
        <v>144791.23</v>
      </c>
      <c r="G162" s="33" t="n"/>
      <c r="H162" s="33" t="inlineStr">
        <is>
          <t>AGGETNET - 391</t>
        </is>
      </c>
      <c r="I162" s="34" t="n">
        <v>0</v>
      </c>
      <c r="J162" s="33" t="n">
        <v>0</v>
      </c>
      <c r="K162" s="35" t="inlineStr">
        <is>
          <t>EXACTO</t>
        </is>
      </c>
      <c r="L162" s="33" t="inlineStr">
        <is>
          <t>CONCILIADO</t>
        </is>
      </c>
      <c r="M162" s="33" t="n"/>
    </row>
    <row r="163">
      <c r="A163" s="32" t="n">
        <v>46094</v>
      </c>
      <c r="B163" s="33" t="n"/>
      <c r="C163" s="34" t="n">
        <v>72926.7</v>
      </c>
      <c r="D163" s="33" t="inlineStr">
        <is>
          <t>Pago a proveedores recibido</t>
        </is>
      </c>
      <c r="E163" s="32" t="n">
        <v>46094</v>
      </c>
      <c r="F163" s="34" t="n">
        <v>72926.7</v>
      </c>
      <c r="G163" s="33" t="n"/>
      <c r="H163" s="33" t="inlineStr">
        <is>
          <t>MOVFONDOS - 7504</t>
        </is>
      </c>
      <c r="I163" s="34" t="n">
        <v>0</v>
      </c>
      <c r="J163" s="33" t="n">
        <v>0</v>
      </c>
      <c r="K163" s="35" t="inlineStr">
        <is>
          <t>EXACTO</t>
        </is>
      </c>
      <c r="L163" s="33" t="inlineStr">
        <is>
          <t>CONCILIADO</t>
        </is>
      </c>
      <c r="M163" s="33" t="n"/>
    </row>
    <row r="164">
      <c r="A164" s="32" t="n">
        <v>46094</v>
      </c>
      <c r="B164" s="33" t="n"/>
      <c r="C164" s="34" t="n">
        <v>15441</v>
      </c>
      <c r="D164" s="33" t="inlineStr">
        <is>
          <t>Pago a proveedores recibido</t>
        </is>
      </c>
      <c r="E164" s="32" t="n">
        <v>46094</v>
      </c>
      <c r="F164" s="34" t="n">
        <v>15441</v>
      </c>
      <c r="G164" s="33" t="n"/>
      <c r="H164" s="33" t="inlineStr">
        <is>
          <t>MOVFONDOS - 7505</t>
        </is>
      </c>
      <c r="I164" s="34" t="n">
        <v>0</v>
      </c>
      <c r="J164" s="33" t="n">
        <v>0</v>
      </c>
      <c r="K164" s="35" t="inlineStr">
        <is>
          <t>EXACTO</t>
        </is>
      </c>
      <c r="L164" s="33" t="inlineStr">
        <is>
          <t>CONCILIADO</t>
        </is>
      </c>
      <c r="M164" s="33" t="n"/>
    </row>
    <row r="165">
      <c r="A165" s="32" t="n">
        <v>46094</v>
      </c>
      <c r="B165" s="33" t="n"/>
      <c r="C165" s="34" t="n">
        <v>1592299.5</v>
      </c>
      <c r="D165" s="33" t="inlineStr">
        <is>
          <t>Pago a proveedores recibido</t>
        </is>
      </c>
      <c r="E165" s="32" t="n">
        <v>46094</v>
      </c>
      <c r="F165" s="34" t="n">
        <v>1592299.5</v>
      </c>
      <c r="G165" s="33" t="n"/>
      <c r="H165" s="33" t="inlineStr">
        <is>
          <t>MOVFONDOS - 7506</t>
        </is>
      </c>
      <c r="I165" s="34" t="n">
        <v>0</v>
      </c>
      <c r="J165" s="33" t="n">
        <v>0</v>
      </c>
      <c r="K165" s="35" t="inlineStr">
        <is>
          <t>EXACTO</t>
        </is>
      </c>
      <c r="L165" s="33" t="inlineStr">
        <is>
          <t>CONCILIADO</t>
        </is>
      </c>
      <c r="M165" s="33" t="n"/>
    </row>
    <row r="166">
      <c r="A166" s="32" t="n">
        <v>46094</v>
      </c>
      <c r="B166" s="33" t="n"/>
      <c r="C166" s="34" t="n">
        <v>463200</v>
      </c>
      <c r="D166" s="33" t="inlineStr">
        <is>
          <t>Transferencia recibida</t>
        </is>
      </c>
      <c r="E166" s="32" t="n">
        <v>46094</v>
      </c>
      <c r="F166" s="34" t="n">
        <v>463200</v>
      </c>
      <c r="G166" s="33" t="n"/>
      <c r="H166" s="33" t="inlineStr">
        <is>
          <t>MOVFONDOS - 7507</t>
        </is>
      </c>
      <c r="I166" s="34" t="n">
        <v>0</v>
      </c>
      <c r="J166" s="33" t="n">
        <v>0</v>
      </c>
      <c r="K166" s="35" t="inlineStr">
        <is>
          <t>EXACTO</t>
        </is>
      </c>
      <c r="L166" s="33" t="inlineStr">
        <is>
          <t>CONCILIADO</t>
        </is>
      </c>
      <c r="M166" s="33" t="n"/>
    </row>
    <row r="167">
      <c r="A167" s="32" t="n">
        <v>46094</v>
      </c>
      <c r="B167" s="33" t="n"/>
      <c r="C167" s="34" t="n">
        <v>685989.9300000001</v>
      </c>
      <c r="D167" s="33" t="inlineStr">
        <is>
          <t>Pago a proveedores recibido</t>
        </is>
      </c>
      <c r="E167" s="32" t="n">
        <v>46094</v>
      </c>
      <c r="F167" s="34" t="n">
        <v>685989.9300000001</v>
      </c>
      <c r="G167" s="33" t="n"/>
      <c r="H167" s="33" t="inlineStr">
        <is>
          <t>MOVFONDOS - 7508</t>
        </is>
      </c>
      <c r="I167" s="34" t="n">
        <v>0</v>
      </c>
      <c r="J167" s="33" t="n">
        <v>0</v>
      </c>
      <c r="K167" s="35" t="inlineStr">
        <is>
          <t>EXACTO</t>
        </is>
      </c>
      <c r="L167" s="33" t="inlineStr">
        <is>
          <t>CONCILIADO</t>
        </is>
      </c>
      <c r="M167" s="33" t="n"/>
    </row>
    <row r="168">
      <c r="A168" s="32" t="n">
        <v>46094</v>
      </c>
      <c r="B168" s="34" t="n">
        <v>6000000</v>
      </c>
      <c r="C168" s="33" t="n"/>
      <c r="D168" s="33" t="inlineStr">
        <is>
          <t>Suscripcion fondos comunes invers</t>
        </is>
      </c>
      <c r="E168" s="32" t="n">
        <v>46094</v>
      </c>
      <c r="F168" s="33" t="n"/>
      <c r="G168" s="34" t="n">
        <v>6000000</v>
      </c>
      <c r="H168" s="33" t="inlineStr">
        <is>
          <t>MOVFONDOS - 7499</t>
        </is>
      </c>
      <c r="I168" s="34" t="n">
        <v>0</v>
      </c>
      <c r="J168" s="33" t="n">
        <v>0</v>
      </c>
      <c r="K168" s="35" t="inlineStr">
        <is>
          <t>EXACTO</t>
        </is>
      </c>
      <c r="L168" s="33" t="inlineStr">
        <is>
          <t>CONCILIADO</t>
        </is>
      </c>
      <c r="M168" s="33" t="n"/>
    </row>
    <row r="169">
      <c r="A169" s="32" t="n">
        <v>46094</v>
      </c>
      <c r="B169" s="33" t="n"/>
      <c r="C169" s="34" t="n">
        <v>326369.75</v>
      </c>
      <c r="D169" s="33" t="inlineStr">
        <is>
          <t>Transferencia recibida</t>
        </is>
      </c>
      <c r="E169" s="32" t="n">
        <v>46094</v>
      </c>
      <c r="F169" s="34" t="n">
        <v>326369.75</v>
      </c>
      <c r="G169" s="33" t="n"/>
      <c r="H169" s="33" t="inlineStr">
        <is>
          <t>MOVFONDOS - 7509</t>
        </is>
      </c>
      <c r="I169" s="34" t="n">
        <v>0</v>
      </c>
      <c r="J169" s="33" t="n">
        <v>0</v>
      </c>
      <c r="K169" s="35" t="inlineStr">
        <is>
          <t>EXACTO</t>
        </is>
      </c>
      <c r="L169" s="33" t="inlineStr">
        <is>
          <t>CONCILIADO</t>
        </is>
      </c>
      <c r="M169" s="33" t="n"/>
    </row>
    <row r="170">
      <c r="A170" s="32" t="n">
        <v>46094</v>
      </c>
      <c r="B170" s="33" t="n"/>
      <c r="C170" s="34" t="n">
        <v>663142.12</v>
      </c>
      <c r="D170" s="33" t="inlineStr">
        <is>
          <t>Pago a proveedores recibido</t>
        </is>
      </c>
      <c r="E170" s="32" t="n">
        <v>46094</v>
      </c>
      <c r="F170" s="34" t="n">
        <v>663142.12</v>
      </c>
      <c r="G170" s="33" t="n"/>
      <c r="H170" s="33" t="inlineStr">
        <is>
          <t>MOVFONDOS - 7510</t>
        </is>
      </c>
      <c r="I170" s="34" t="n">
        <v>0</v>
      </c>
      <c r="J170" s="33" t="n">
        <v>0</v>
      </c>
      <c r="K170" s="35" t="inlineStr">
        <is>
          <t>EXACTO</t>
        </is>
      </c>
      <c r="L170" s="33" t="inlineStr">
        <is>
          <t>CONCILIADO</t>
        </is>
      </c>
      <c r="M170" s="33" t="n"/>
    </row>
    <row r="171">
      <c r="A171" s="32" t="n">
        <v>46094</v>
      </c>
      <c r="B171" s="33" t="n"/>
      <c r="C171" s="34" t="n">
        <v>4881.68</v>
      </c>
      <c r="D171" s="33" t="inlineStr">
        <is>
          <t>Transferencia recibida</t>
        </is>
      </c>
      <c r="E171" s="32" t="n">
        <v>46094</v>
      </c>
      <c r="F171" s="34" t="n">
        <v>4881.68</v>
      </c>
      <c r="G171" s="33" t="n"/>
      <c r="H171" s="33" t="inlineStr">
        <is>
          <t>MOVFONDOS - 7511</t>
        </is>
      </c>
      <c r="I171" s="34" t="n">
        <v>0</v>
      </c>
      <c r="J171" s="33" t="n">
        <v>0</v>
      </c>
      <c r="K171" s="35" t="inlineStr">
        <is>
          <t>EXACTO</t>
        </is>
      </c>
      <c r="L171" s="33" t="inlineStr">
        <is>
          <t>CONCILIADO</t>
        </is>
      </c>
      <c r="M171" s="33" t="n"/>
    </row>
    <row r="172">
      <c r="A172" s="32" t="n">
        <v>46094</v>
      </c>
      <c r="B172" s="33" t="n"/>
      <c r="C172" s="34" t="n">
        <v>3000000</v>
      </c>
      <c r="D172" s="33" t="inlineStr">
        <is>
          <t>Transf recibida cvu mismo titular</t>
        </is>
      </c>
      <c r="E172" s="32" t="n">
        <v>46094</v>
      </c>
      <c r="F172" s="34" t="n">
        <v>3000000</v>
      </c>
      <c r="G172" s="33" t="n"/>
      <c r="H172" s="33" t="inlineStr">
        <is>
          <t>MOVFONDOS - 7512</t>
        </is>
      </c>
      <c r="I172" s="34" t="n">
        <v>0</v>
      </c>
      <c r="J172" s="33" t="n">
        <v>0</v>
      </c>
      <c r="K172" s="35" t="inlineStr">
        <is>
          <t>EXACTO</t>
        </is>
      </c>
      <c r="L172" s="33" t="inlineStr">
        <is>
          <t>CONCILIADO</t>
        </is>
      </c>
      <c r="M172" s="33" t="n"/>
    </row>
    <row r="173">
      <c r="A173" s="32" t="n">
        <v>46094</v>
      </c>
      <c r="B173" s="34" t="n">
        <v>4713252.5</v>
      </c>
      <c r="C173" s="33" t="n"/>
      <c r="D173" s="33" t="inlineStr">
        <is>
          <t>Transferencia realizada</t>
        </is>
      </c>
      <c r="E173" s="32" t="n">
        <v>46094</v>
      </c>
      <c r="F173" s="33" t="n"/>
      <c r="G173" s="34" t="n">
        <v>4713252.5</v>
      </c>
      <c r="H173" s="33" t="inlineStr">
        <is>
          <t>PAGO - 3016</t>
        </is>
      </c>
      <c r="I173" s="34" t="n">
        <v>0</v>
      </c>
      <c r="J173" s="33" t="n">
        <v>0</v>
      </c>
      <c r="K173" s="35" t="inlineStr">
        <is>
          <t>EXACTO</t>
        </is>
      </c>
      <c r="L173" s="33" t="inlineStr">
        <is>
          <t>CONCILIADO</t>
        </is>
      </c>
      <c r="M173" s="33" t="n"/>
    </row>
    <row r="174">
      <c r="A174" s="32" t="n">
        <v>46097</v>
      </c>
      <c r="B174" s="33" t="n"/>
      <c r="C174" s="34" t="n">
        <v>667562</v>
      </c>
      <c r="D174" s="33" t="inlineStr">
        <is>
          <t>Pago comercios getnet nro.liq.</t>
        </is>
      </c>
      <c r="E174" s="32" t="n">
        <v>46097</v>
      </c>
      <c r="F174" s="34" t="n">
        <v>667562</v>
      </c>
      <c r="G174" s="33" t="n"/>
      <c r="H174" s="33" t="inlineStr">
        <is>
          <t>AGGETNET - 392</t>
        </is>
      </c>
      <c r="I174" s="34" t="n">
        <v>0</v>
      </c>
      <c r="J174" s="33" t="n">
        <v>0</v>
      </c>
      <c r="K174" s="35" t="inlineStr">
        <is>
          <t>EXACTO</t>
        </is>
      </c>
      <c r="L174" s="33" t="inlineStr">
        <is>
          <t>CONCILIADO</t>
        </is>
      </c>
      <c r="M174" s="33" t="n"/>
    </row>
    <row r="175">
      <c r="A175" s="32" t="n">
        <v>46097</v>
      </c>
      <c r="B175" s="34" t="n">
        <v>1214855.04</v>
      </c>
      <c r="C175" s="33" t="n"/>
      <c r="D175" s="33" t="inlineStr">
        <is>
          <t>Debito automatico</t>
        </is>
      </c>
      <c r="E175" s="32" t="n">
        <v>46097</v>
      </c>
      <c r="F175" s="33" t="n"/>
      <c r="G175" s="34" t="n">
        <v>1214855.04</v>
      </c>
      <c r="H175" s="33" t="inlineStr">
        <is>
          <t>PAGO - 3031</t>
        </is>
      </c>
      <c r="I175" s="34" t="n">
        <v>0</v>
      </c>
      <c r="J175" s="33" t="n">
        <v>0</v>
      </c>
      <c r="K175" s="35" t="inlineStr">
        <is>
          <t>EXACTO</t>
        </is>
      </c>
      <c r="L175" s="33" t="inlineStr">
        <is>
          <t>CONCILIADO</t>
        </is>
      </c>
      <c r="M175" s="33" t="n"/>
    </row>
    <row r="176">
      <c r="A176" s="32" t="n">
        <v>46097</v>
      </c>
      <c r="B176" s="34" t="n">
        <v>364826.34</v>
      </c>
      <c r="C176" s="33" t="n"/>
      <c r="D176" s="33" t="inlineStr">
        <is>
          <t>Debito automatico</t>
        </is>
      </c>
      <c r="E176" s="32" t="n">
        <v>46097</v>
      </c>
      <c r="F176" s="33" t="n"/>
      <c r="G176" s="34" t="n">
        <v>364826.34</v>
      </c>
      <c r="H176" s="33" t="inlineStr">
        <is>
          <t>PAGO - 3030</t>
        </is>
      </c>
      <c r="I176" s="34" t="n">
        <v>0</v>
      </c>
      <c r="J176" s="33" t="n">
        <v>0</v>
      </c>
      <c r="K176" s="35" t="inlineStr">
        <is>
          <t>EXACTO</t>
        </is>
      </c>
      <c r="L176" s="33" t="inlineStr">
        <is>
          <t>CONCILIADO</t>
        </is>
      </c>
      <c r="M176" s="33" t="n"/>
    </row>
    <row r="177">
      <c r="A177" s="32" t="n">
        <v>46097</v>
      </c>
      <c r="B177" s="34" t="n">
        <v>524468.05</v>
      </c>
      <c r="C177" s="33" t="n"/>
      <c r="D177" s="33" t="inlineStr">
        <is>
          <t>Debito automatico</t>
        </is>
      </c>
      <c r="E177" s="32" t="n">
        <v>46097</v>
      </c>
      <c r="F177" s="33" t="n"/>
      <c r="G177" s="34" t="n">
        <v>524468.05</v>
      </c>
      <c r="H177" s="33" t="inlineStr">
        <is>
          <t>PAGO - 3029</t>
        </is>
      </c>
      <c r="I177" s="34" t="n">
        <v>0</v>
      </c>
      <c r="J177" s="33" t="n">
        <v>0</v>
      </c>
      <c r="K177" s="35" t="inlineStr">
        <is>
          <t>EXACTO</t>
        </is>
      </c>
      <c r="L177" s="33" t="inlineStr">
        <is>
          <t>CONCILIADO</t>
        </is>
      </c>
      <c r="M177" s="33" t="n"/>
    </row>
    <row r="178">
      <c r="A178" s="32" t="n">
        <v>46097</v>
      </c>
      <c r="B178" s="34" t="n">
        <v>301511.91</v>
      </c>
      <c r="C178" s="33" t="n"/>
      <c r="D178" s="33" t="inlineStr">
        <is>
          <t>Debito automatico</t>
        </is>
      </c>
      <c r="E178" s="32" t="n">
        <v>46097</v>
      </c>
      <c r="F178" s="33" t="n"/>
      <c r="G178" s="34" t="n">
        <v>301511.91</v>
      </c>
      <c r="H178" s="33" t="inlineStr">
        <is>
          <t>PAGO - 3028</t>
        </is>
      </c>
      <c r="I178" s="34" t="n">
        <v>0</v>
      </c>
      <c r="J178" s="33" t="n">
        <v>0</v>
      </c>
      <c r="K178" s="35" t="inlineStr">
        <is>
          <t>EXACTO</t>
        </is>
      </c>
      <c r="L178" s="33" t="inlineStr">
        <is>
          <t>CONCILIADO</t>
        </is>
      </c>
      <c r="M178" s="33" t="n"/>
    </row>
    <row r="179">
      <c r="A179" s="32" t="n">
        <v>46097</v>
      </c>
      <c r="B179" s="34" t="n">
        <v>95216.62</v>
      </c>
      <c r="C179" s="33" t="n"/>
      <c r="D179" s="33" t="inlineStr">
        <is>
          <t>Snp debito directo</t>
        </is>
      </c>
      <c r="E179" s="32" t="n">
        <v>46097</v>
      </c>
      <c r="F179" s="33" t="n"/>
      <c r="G179" s="34" t="n">
        <v>95216.62</v>
      </c>
      <c r="H179" s="33" t="inlineStr">
        <is>
          <t>PAGO - 3024</t>
        </is>
      </c>
      <c r="I179" s="34" t="n">
        <v>0</v>
      </c>
      <c r="J179" s="33" t="n">
        <v>0</v>
      </c>
      <c r="K179" s="35" t="inlineStr">
        <is>
          <t>EXACTO</t>
        </is>
      </c>
      <c r="L179" s="33" t="inlineStr">
        <is>
          <t>CONCILIADO</t>
        </is>
      </c>
      <c r="M179" s="33" t="n"/>
    </row>
    <row r="180">
      <c r="A180" s="32" t="n">
        <v>46097</v>
      </c>
      <c r="B180" s="33" t="n"/>
      <c r="C180" s="34" t="n">
        <v>258192.72</v>
      </c>
      <c r="D180" s="33" t="inlineStr">
        <is>
          <t>Pago comercios getnet nro.liq.</t>
        </is>
      </c>
      <c r="E180" s="32" t="n">
        <v>46097</v>
      </c>
      <c r="F180" s="34" t="n">
        <v>258192.72</v>
      </c>
      <c r="G180" s="33" t="n"/>
      <c r="H180" s="33" t="inlineStr">
        <is>
          <t>AGGETNET - 392</t>
        </is>
      </c>
      <c r="I180" s="34" t="n">
        <v>0</v>
      </c>
      <c r="J180" s="33" t="n">
        <v>0</v>
      </c>
      <c r="K180" s="35" t="inlineStr">
        <is>
          <t>EXACTO</t>
        </is>
      </c>
      <c r="L180" s="33" t="inlineStr">
        <is>
          <t>CONCILIADO</t>
        </is>
      </c>
      <c r="M180" s="33" t="n"/>
    </row>
    <row r="181">
      <c r="A181" s="32" t="n">
        <v>46097</v>
      </c>
      <c r="B181" s="33" t="n"/>
      <c r="C181" s="34" t="n">
        <v>118943</v>
      </c>
      <c r="D181" s="33" t="inlineStr">
        <is>
          <t>Transferencia recibida</t>
        </is>
      </c>
      <c r="E181" s="32" t="n">
        <v>46097</v>
      </c>
      <c r="F181" s="34" t="n">
        <v>118943</v>
      </c>
      <c r="G181" s="33" t="n"/>
      <c r="H181" s="33" t="inlineStr">
        <is>
          <t>MOVFONDOS - 7516</t>
        </is>
      </c>
      <c r="I181" s="34" t="n">
        <v>0</v>
      </c>
      <c r="J181" s="33" t="n">
        <v>0</v>
      </c>
      <c r="K181" s="35" t="inlineStr">
        <is>
          <t>EXACTO</t>
        </is>
      </c>
      <c r="L181" s="33" t="inlineStr">
        <is>
          <t>CONCILIADO</t>
        </is>
      </c>
      <c r="M181" s="33" t="n"/>
    </row>
    <row r="182">
      <c r="A182" s="32" t="n">
        <v>46097</v>
      </c>
      <c r="B182" s="33" t="n"/>
      <c r="C182" s="34" t="n">
        <v>19241</v>
      </c>
      <c r="D182" s="33" t="inlineStr">
        <is>
          <t>Transferencia recibida</t>
        </is>
      </c>
      <c r="E182" s="32" t="n">
        <v>46097</v>
      </c>
      <c r="F182" s="34" t="n">
        <v>19241</v>
      </c>
      <c r="G182" s="33" t="n"/>
      <c r="H182" s="33" t="inlineStr">
        <is>
          <t>MOVFONDOS - 7517</t>
        </is>
      </c>
      <c r="I182" s="34" t="n">
        <v>0</v>
      </c>
      <c r="J182" s="33" t="n">
        <v>0</v>
      </c>
      <c r="K182" s="35" t="inlineStr">
        <is>
          <t>EXACTO</t>
        </is>
      </c>
      <c r="L182" s="33" t="inlineStr">
        <is>
          <t>CONCILIADO</t>
        </is>
      </c>
      <c r="M182" s="33" t="n"/>
    </row>
    <row r="183">
      <c r="A183" s="32" t="n">
        <v>46097</v>
      </c>
      <c r="B183" s="33" t="n"/>
      <c r="C183" s="34" t="n">
        <v>874702.13</v>
      </c>
      <c r="D183" s="33" t="inlineStr">
        <is>
          <t>Pago a proveedores recibido</t>
        </is>
      </c>
      <c r="E183" s="32" t="n">
        <v>46097</v>
      </c>
      <c r="F183" s="34" t="n">
        <v>874702.13</v>
      </c>
      <c r="G183" s="33" t="n"/>
      <c r="H183" s="33" t="inlineStr">
        <is>
          <t>MOVFONDOS - 7518</t>
        </is>
      </c>
      <c r="I183" s="34" t="n">
        <v>0</v>
      </c>
      <c r="J183" s="33" t="n">
        <v>0</v>
      </c>
      <c r="K183" s="35" t="inlineStr">
        <is>
          <t>EXACTO</t>
        </is>
      </c>
      <c r="L183" s="33" t="inlineStr">
        <is>
          <t>CONCILIADO</t>
        </is>
      </c>
      <c r="M183" s="33" t="n"/>
    </row>
    <row r="184">
      <c r="A184" s="32" t="n">
        <v>46097</v>
      </c>
      <c r="B184" s="33" t="n"/>
      <c r="C184" s="34" t="n">
        <v>10824.66</v>
      </c>
      <c r="D184" s="33" t="inlineStr">
        <is>
          <t>Transferencia recibida</t>
        </is>
      </c>
      <c r="E184" s="32" t="n">
        <v>46097</v>
      </c>
      <c r="F184" s="34" t="n">
        <v>10824.66</v>
      </c>
      <c r="G184" s="33" t="n"/>
      <c r="H184" s="33" t="inlineStr">
        <is>
          <t>MOVFONDOS - 7528</t>
        </is>
      </c>
      <c r="I184" s="34" t="n">
        <v>0</v>
      </c>
      <c r="J184" s="33" t="n">
        <v>0</v>
      </c>
      <c r="K184" s="35" t="inlineStr">
        <is>
          <t>EXACTO</t>
        </is>
      </c>
      <c r="L184" s="33" t="inlineStr">
        <is>
          <t>CONCILIADO</t>
        </is>
      </c>
      <c r="M184" s="33" t="n"/>
    </row>
    <row r="185">
      <c r="A185" s="32" t="n">
        <v>46098</v>
      </c>
      <c r="B185" s="33" t="n"/>
      <c r="C185" s="34" t="n">
        <v>17190.94</v>
      </c>
      <c r="D185" s="33" t="inlineStr">
        <is>
          <t>Pago comercios getnet nro.liq.</t>
        </is>
      </c>
      <c r="E185" s="32" t="n">
        <v>46098</v>
      </c>
      <c r="F185" s="34" t="n">
        <v>17190.94</v>
      </c>
      <c r="G185" s="33" t="n"/>
      <c r="H185" s="33" t="inlineStr">
        <is>
          <t>AGGETNET - 393</t>
        </is>
      </c>
      <c r="I185" s="34" t="n">
        <v>0</v>
      </c>
      <c r="J185" s="33" t="n">
        <v>0</v>
      </c>
      <c r="K185" s="35" t="inlineStr">
        <is>
          <t>EXACTO</t>
        </is>
      </c>
      <c r="L185" s="33" t="inlineStr">
        <is>
          <t>CONCILIADO</t>
        </is>
      </c>
      <c r="M185" s="33" t="n"/>
    </row>
    <row r="186">
      <c r="A186" s="32" t="n">
        <v>46098</v>
      </c>
      <c r="B186" s="33" t="n"/>
      <c r="C186" s="34" t="n">
        <v>20963.04</v>
      </c>
      <c r="D186" s="33" t="inlineStr">
        <is>
          <t>Pago comercios getnet nro.liq.</t>
        </is>
      </c>
      <c r="E186" s="32" t="n">
        <v>46098</v>
      </c>
      <c r="F186" s="34" t="n">
        <v>20963.04</v>
      </c>
      <c r="G186" s="33" t="n"/>
      <c r="H186" s="33" t="inlineStr">
        <is>
          <t>AGGETNET - 393</t>
        </is>
      </c>
      <c r="I186" s="34" t="n">
        <v>0</v>
      </c>
      <c r="J186" s="33" t="n">
        <v>0</v>
      </c>
      <c r="K186" s="35" t="inlineStr">
        <is>
          <t>EXACTO</t>
        </is>
      </c>
      <c r="L186" s="33" t="inlineStr">
        <is>
          <t>CONCILIADO</t>
        </is>
      </c>
      <c r="M186" s="33" t="n"/>
    </row>
    <row r="187">
      <c r="A187" s="32" t="n">
        <v>46098</v>
      </c>
      <c r="B187" s="33" t="n"/>
      <c r="C187" s="34" t="n">
        <v>7000000</v>
      </c>
      <c r="D187" s="33" t="inlineStr">
        <is>
          <t>Transferencia recibida</t>
        </is>
      </c>
      <c r="E187" s="32" t="n">
        <v>46098</v>
      </c>
      <c r="F187" s="34" t="n">
        <v>7000000</v>
      </c>
      <c r="G187" s="33" t="n"/>
      <c r="H187" s="33" t="inlineStr">
        <is>
          <t>MOVFONDOS - 7524</t>
        </is>
      </c>
      <c r="I187" s="34" t="n">
        <v>0</v>
      </c>
      <c r="J187" s="33" t="n">
        <v>0</v>
      </c>
      <c r="K187" s="35" t="inlineStr">
        <is>
          <t>EXACTO</t>
        </is>
      </c>
      <c r="L187" s="33" t="inlineStr">
        <is>
          <t>CONCILIADO</t>
        </is>
      </c>
      <c r="M187" s="33" t="n"/>
    </row>
    <row r="188">
      <c r="A188" s="32" t="n">
        <v>46098</v>
      </c>
      <c r="B188" s="33" t="n"/>
      <c r="C188" s="34" t="n">
        <v>83336.3</v>
      </c>
      <c r="D188" s="33" t="inlineStr">
        <is>
          <t>Transferencia recibida</t>
        </is>
      </c>
      <c r="E188" s="32" t="n">
        <v>46098</v>
      </c>
      <c r="F188" s="34" t="n">
        <v>83336.3</v>
      </c>
      <c r="G188" s="33" t="n"/>
      <c r="H188" s="33" t="inlineStr">
        <is>
          <t>MOVFONDOS - 7529</t>
        </is>
      </c>
      <c r="I188" s="34" t="n">
        <v>0</v>
      </c>
      <c r="J188" s="33" t="n">
        <v>0</v>
      </c>
      <c r="K188" s="35" t="inlineStr">
        <is>
          <t>EXACTO</t>
        </is>
      </c>
      <c r="L188" s="33" t="inlineStr">
        <is>
          <t>CONCILIADO</t>
        </is>
      </c>
      <c r="M188" s="33" t="n"/>
    </row>
    <row r="189">
      <c r="A189" s="32" t="n">
        <v>46098</v>
      </c>
      <c r="B189" s="33" t="n"/>
      <c r="C189" s="34" t="n">
        <v>32915.57</v>
      </c>
      <c r="D189" s="33" t="inlineStr">
        <is>
          <t>Transferencia recibida</t>
        </is>
      </c>
      <c r="E189" s="32" t="n">
        <v>46098</v>
      </c>
      <c r="F189" s="34" t="n">
        <v>32915.57</v>
      </c>
      <c r="G189" s="33" t="n"/>
      <c r="H189" s="33" t="inlineStr">
        <is>
          <t>MOVFONDOS - 7539</t>
        </is>
      </c>
      <c r="I189" s="34" t="n">
        <v>0</v>
      </c>
      <c r="J189" s="33" t="n">
        <v>0</v>
      </c>
      <c r="K189" s="35" t="inlineStr">
        <is>
          <t>EXACTO</t>
        </is>
      </c>
      <c r="L189" s="33" t="inlineStr">
        <is>
          <t>CONCILIADO</t>
        </is>
      </c>
      <c r="M189" s="33" t="n"/>
    </row>
    <row r="190">
      <c r="A190" s="32" t="n">
        <v>46098</v>
      </c>
      <c r="B190" s="33" t="n"/>
      <c r="C190" s="34" t="n">
        <v>773782.85</v>
      </c>
      <c r="D190" s="33" t="inlineStr">
        <is>
          <t>Transferencia recibida</t>
        </is>
      </c>
      <c r="E190" s="32" t="n">
        <v>46098</v>
      </c>
      <c r="F190" s="34" t="n">
        <v>773782.85</v>
      </c>
      <c r="G190" s="33" t="n"/>
      <c r="H190" s="33" t="inlineStr">
        <is>
          <t>MOVFONDOS - 7540</t>
        </is>
      </c>
      <c r="I190" s="34" t="n">
        <v>0</v>
      </c>
      <c r="J190" s="33" t="n">
        <v>0</v>
      </c>
      <c r="K190" s="35" t="inlineStr">
        <is>
          <t>EXACTO</t>
        </is>
      </c>
      <c r="L190" s="33" t="inlineStr">
        <is>
          <t>CONCILIADO</t>
        </is>
      </c>
      <c r="M190" s="33" t="n"/>
    </row>
    <row r="191">
      <c r="A191" s="32" t="n">
        <v>46098</v>
      </c>
      <c r="B191" s="33" t="n"/>
      <c r="C191" s="34" t="n">
        <v>28476.48</v>
      </c>
      <c r="D191" s="33" t="inlineStr">
        <is>
          <t>Transferencia recibida</t>
        </is>
      </c>
      <c r="E191" s="32" t="n">
        <v>46098</v>
      </c>
      <c r="F191" s="34" t="n">
        <v>28476.48</v>
      </c>
      <c r="G191" s="33" t="n"/>
      <c r="H191" s="33" t="inlineStr">
        <is>
          <t>MOVFONDOS - 7541</t>
        </is>
      </c>
      <c r="I191" s="34" t="n">
        <v>0</v>
      </c>
      <c r="J191" s="33" t="n">
        <v>0</v>
      </c>
      <c r="K191" s="35" t="inlineStr">
        <is>
          <t>EXACTO</t>
        </is>
      </c>
      <c r="L191" s="33" t="inlineStr">
        <is>
          <t>CONCILIADO</t>
        </is>
      </c>
      <c r="M191" s="33" t="n"/>
    </row>
    <row r="192">
      <c r="A192" s="32" t="n">
        <v>46098</v>
      </c>
      <c r="B192" s="34" t="n">
        <v>25000</v>
      </c>
      <c r="C192" s="33" t="n"/>
      <c r="D192" s="33" t="inlineStr">
        <is>
          <t>Transferencia realizada</t>
        </is>
      </c>
      <c r="E192" s="32" t="n">
        <v>46098</v>
      </c>
      <c r="F192" s="33" t="n"/>
      <c r="G192" s="34" t="n">
        <v>25000</v>
      </c>
      <c r="H192" s="33" t="inlineStr">
        <is>
          <t>PAGO - 3027</t>
        </is>
      </c>
      <c r="I192" s="34" t="n">
        <v>0</v>
      </c>
      <c r="J192" s="33" t="n">
        <v>0</v>
      </c>
      <c r="K192" s="35" t="inlineStr">
        <is>
          <t>EXACTO</t>
        </is>
      </c>
      <c r="L192" s="33" t="inlineStr">
        <is>
          <t>CONCILIADO</t>
        </is>
      </c>
      <c r="M192" s="33" t="n"/>
    </row>
    <row r="193">
      <c r="A193" s="32" t="n">
        <v>46098</v>
      </c>
      <c r="B193" s="34" t="n">
        <v>113843.8</v>
      </c>
      <c r="C193" s="33" t="n"/>
      <c r="D193" s="33" t="inlineStr">
        <is>
          <t>Transferencia realizada</t>
        </is>
      </c>
      <c r="E193" s="32" t="n">
        <v>46098</v>
      </c>
      <c r="F193" s="33" t="n"/>
      <c r="G193" s="34" t="n">
        <v>113843.8</v>
      </c>
      <c r="H193" s="33" t="inlineStr">
        <is>
          <t>PAGO - 3026</t>
        </is>
      </c>
      <c r="I193" s="34" t="n">
        <v>0</v>
      </c>
      <c r="J193" s="33" t="n">
        <v>0</v>
      </c>
      <c r="K193" s="35" t="inlineStr">
        <is>
          <t>EXACTO</t>
        </is>
      </c>
      <c r="L193" s="33" t="inlineStr">
        <is>
          <t>CONCILIADO</t>
        </is>
      </c>
      <c r="M193" s="33" t="n"/>
    </row>
    <row r="194">
      <c r="A194" s="32" t="n">
        <v>46098</v>
      </c>
      <c r="B194" s="34" t="n">
        <v>70500</v>
      </c>
      <c r="C194" s="33" t="n"/>
      <c r="D194" s="33" t="inlineStr">
        <is>
          <t>Transferencia realizada</t>
        </is>
      </c>
      <c r="E194" s="32" t="n">
        <v>46098</v>
      </c>
      <c r="F194" s="33" t="n"/>
      <c r="G194" s="34" t="n">
        <v>70500</v>
      </c>
      <c r="H194" s="33" t="inlineStr">
        <is>
          <t>PAGO - 3025</t>
        </is>
      </c>
      <c r="I194" s="34" t="n">
        <v>0</v>
      </c>
      <c r="J194" s="33" t="n">
        <v>0</v>
      </c>
      <c r="K194" s="35" t="inlineStr">
        <is>
          <t>EXACTO</t>
        </is>
      </c>
      <c r="L194" s="33" t="inlineStr">
        <is>
          <t>CONCILIADO</t>
        </is>
      </c>
      <c r="M194" s="33" t="n"/>
    </row>
    <row r="195">
      <c r="A195" s="32" t="n">
        <v>46098</v>
      </c>
      <c r="B195" s="34" t="n">
        <v>60376.45</v>
      </c>
      <c r="C195" s="33" t="n"/>
      <c r="D195" s="33" t="inlineStr">
        <is>
          <t>Transferencia realizada</t>
        </is>
      </c>
      <c r="E195" s="32" t="n">
        <v>46098</v>
      </c>
      <c r="F195" s="33" t="n"/>
      <c r="G195" s="34" t="n">
        <v>60376.45</v>
      </c>
      <c r="H195" s="33" t="inlineStr">
        <is>
          <t>PAGO - 3023</t>
        </is>
      </c>
      <c r="I195" s="34" t="n">
        <v>0</v>
      </c>
      <c r="J195" s="33" t="n">
        <v>0</v>
      </c>
      <c r="K195" s="35" t="inlineStr">
        <is>
          <t>EXACTO</t>
        </is>
      </c>
      <c r="L195" s="33" t="inlineStr">
        <is>
          <t>CONCILIADO</t>
        </is>
      </c>
      <c r="M195" s="33" t="n"/>
    </row>
    <row r="196">
      <c r="A196" s="32" t="n">
        <v>46098</v>
      </c>
      <c r="B196" s="34" t="n">
        <v>306702.27</v>
      </c>
      <c r="C196" s="33" t="n"/>
      <c r="D196" s="33" t="inlineStr">
        <is>
          <t>Transferencia realizada</t>
        </is>
      </c>
      <c r="E196" s="32" t="n">
        <v>46098</v>
      </c>
      <c r="F196" s="33" t="n"/>
      <c r="G196" s="34" t="n">
        <v>306702.27</v>
      </c>
      <c r="H196" s="33" t="inlineStr">
        <is>
          <t>PAGO - 3022</t>
        </is>
      </c>
      <c r="I196" s="34" t="n">
        <v>0</v>
      </c>
      <c r="J196" s="33" t="n">
        <v>0</v>
      </c>
      <c r="K196" s="35" t="inlineStr">
        <is>
          <t>EXACTO</t>
        </is>
      </c>
      <c r="L196" s="33" t="inlineStr">
        <is>
          <t>CONCILIADO</t>
        </is>
      </c>
      <c r="M196" s="33" t="n"/>
    </row>
    <row r="197">
      <c r="A197" s="32" t="n">
        <v>46098</v>
      </c>
      <c r="B197" s="34" t="n">
        <v>20269.8</v>
      </c>
      <c r="C197" s="33" t="n"/>
      <c r="D197" s="33" t="inlineStr">
        <is>
          <t>Debito transf. online banking emp</t>
        </is>
      </c>
      <c r="E197" s="32" t="n">
        <v>46098</v>
      </c>
      <c r="F197" s="33" t="n"/>
      <c r="G197" s="34" t="n">
        <v>20269.8</v>
      </c>
      <c r="H197" s="33" t="inlineStr">
        <is>
          <t>MOVFONDOS - 7542</t>
        </is>
      </c>
      <c r="I197" s="34" t="n">
        <v>0</v>
      </c>
      <c r="J197" s="33" t="n">
        <v>0</v>
      </c>
      <c r="K197" s="35" t="inlineStr">
        <is>
          <t>EXACTO</t>
        </is>
      </c>
      <c r="L197" s="33" t="inlineStr">
        <is>
          <t>CONCILIADO</t>
        </is>
      </c>
      <c r="M197" s="33" t="n"/>
    </row>
    <row r="198">
      <c r="A198" s="32" t="n">
        <v>46098</v>
      </c>
      <c r="B198" s="33" t="n"/>
      <c r="C198" s="34" t="n">
        <v>532223.95</v>
      </c>
      <c r="D198" s="33" t="inlineStr">
        <is>
          <t>Transferencia recibida</t>
        </is>
      </c>
      <c r="E198" s="32" t="n">
        <v>46098</v>
      </c>
      <c r="F198" s="34" t="n">
        <v>532223.95</v>
      </c>
      <c r="G198" s="33" t="n"/>
      <c r="H198" s="33" t="inlineStr">
        <is>
          <t>MOVFONDOS - 7546</t>
        </is>
      </c>
      <c r="I198" s="34" t="n">
        <v>0</v>
      </c>
      <c r="J198" s="33" t="n">
        <v>0</v>
      </c>
      <c r="K198" s="35" t="inlineStr">
        <is>
          <t>EXACTO</t>
        </is>
      </c>
      <c r="L198" s="33" t="inlineStr">
        <is>
          <t>CONCILIADO</t>
        </is>
      </c>
      <c r="M198" s="33" t="n"/>
    </row>
    <row r="199">
      <c r="A199" s="32" t="n">
        <v>46099</v>
      </c>
      <c r="B199" s="33" t="n"/>
      <c r="C199" s="34" t="n">
        <v>57973.91</v>
      </c>
      <c r="D199" s="33" t="inlineStr">
        <is>
          <t>Pago comercios getnet nro.liq.</t>
        </is>
      </c>
      <c r="E199" s="32" t="n">
        <v>46099</v>
      </c>
      <c r="F199" s="34" t="n">
        <v>57973.91</v>
      </c>
      <c r="G199" s="33" t="n"/>
      <c r="H199" s="33" t="inlineStr">
        <is>
          <t>AGGETNET - 394</t>
        </is>
      </c>
      <c r="I199" s="34" t="n">
        <v>0</v>
      </c>
      <c r="J199" s="33" t="n">
        <v>0</v>
      </c>
      <c r="K199" s="35" t="inlineStr">
        <is>
          <t>EXACTO</t>
        </is>
      </c>
      <c r="L199" s="33" t="inlineStr">
        <is>
          <t>CONCILIADO</t>
        </is>
      </c>
      <c r="M199" s="33" t="n"/>
    </row>
    <row r="200">
      <c r="A200" s="32" t="n">
        <v>46099</v>
      </c>
      <c r="B200" s="34" t="n">
        <v>1607238.36</v>
      </c>
      <c r="C200" s="33" t="n"/>
      <c r="D200" s="33" t="inlineStr">
        <is>
          <t>Debito automatico</t>
        </is>
      </c>
      <c r="E200" s="32" t="n">
        <v>46099</v>
      </c>
      <c r="F200" s="33" t="n"/>
      <c r="G200" s="34" t="n">
        <v>1607238.36</v>
      </c>
      <c r="H200" s="33" t="inlineStr">
        <is>
          <t>PAGO - 3035</t>
        </is>
      </c>
      <c r="I200" s="34" t="n">
        <v>0</v>
      </c>
      <c r="J200" s="33" t="n">
        <v>0</v>
      </c>
      <c r="K200" s="35" t="inlineStr">
        <is>
          <t>EXACTO</t>
        </is>
      </c>
      <c r="L200" s="33" t="inlineStr">
        <is>
          <t>CONCILIADO</t>
        </is>
      </c>
      <c r="M200" s="33" t="n"/>
    </row>
    <row r="201">
      <c r="A201" s="32" t="n">
        <v>46099</v>
      </c>
      <c r="B201" s="33" t="n"/>
      <c r="C201" s="34" t="n">
        <v>265525.07</v>
      </c>
      <c r="D201" s="33" t="inlineStr">
        <is>
          <t>Pago comercios getnet nro.liq.</t>
        </is>
      </c>
      <c r="E201" s="32" t="n">
        <v>46099</v>
      </c>
      <c r="F201" s="34" t="n">
        <v>265525.07</v>
      </c>
      <c r="G201" s="33" t="n"/>
      <c r="H201" s="33" t="inlineStr">
        <is>
          <t>AGGETNET - 394</t>
        </is>
      </c>
      <c r="I201" s="34" t="n">
        <v>0</v>
      </c>
      <c r="J201" s="33" t="n">
        <v>0</v>
      </c>
      <c r="K201" s="35" t="inlineStr">
        <is>
          <t>EXACTO</t>
        </is>
      </c>
      <c r="L201" s="33" t="inlineStr">
        <is>
          <t>CONCILIADO</t>
        </is>
      </c>
      <c r="M201" s="33" t="n"/>
    </row>
    <row r="202">
      <c r="A202" s="32" t="n">
        <v>46099</v>
      </c>
      <c r="B202" s="33" t="n"/>
      <c r="C202" s="34" t="n">
        <v>345543</v>
      </c>
      <c r="D202" s="33" t="inlineStr">
        <is>
          <t>Transferencia recibida</t>
        </is>
      </c>
      <c r="E202" s="32" t="n">
        <v>46099</v>
      </c>
      <c r="F202" s="34" t="n">
        <v>345543</v>
      </c>
      <c r="G202" s="33" t="n"/>
      <c r="H202" s="33" t="inlineStr">
        <is>
          <t>MOVFONDOS - 7555</t>
        </is>
      </c>
      <c r="I202" s="34" t="n">
        <v>0</v>
      </c>
      <c r="J202" s="33" t="n">
        <v>0</v>
      </c>
      <c r="K202" s="35" t="inlineStr">
        <is>
          <t>EXACTO</t>
        </is>
      </c>
      <c r="L202" s="33" t="inlineStr">
        <is>
          <t>CONCILIADO</t>
        </is>
      </c>
      <c r="M202" s="33" t="n"/>
    </row>
    <row r="203">
      <c r="A203" s="32" t="n">
        <v>46099</v>
      </c>
      <c r="B203" s="33" t="n"/>
      <c r="C203" s="34" t="n">
        <v>85708.52</v>
      </c>
      <c r="D203" s="33" t="inlineStr">
        <is>
          <t>Pago a proveedores recibido</t>
        </is>
      </c>
      <c r="E203" s="32" t="n">
        <v>46099</v>
      </c>
      <c r="F203" s="34" t="n">
        <v>85708.52</v>
      </c>
      <c r="G203" s="33" t="n"/>
      <c r="H203" s="33" t="inlineStr">
        <is>
          <t>MOVFONDOS - 7554</t>
        </is>
      </c>
      <c r="I203" s="34" t="n">
        <v>0</v>
      </c>
      <c r="J203" s="33" t="n">
        <v>0</v>
      </c>
      <c r="K203" s="35" t="inlineStr">
        <is>
          <t>EXACTO</t>
        </is>
      </c>
      <c r="L203" s="33" t="inlineStr">
        <is>
          <t>CONCILIADO</t>
        </is>
      </c>
      <c r="M203" s="33" t="n"/>
    </row>
    <row r="204">
      <c r="A204" s="32" t="n">
        <v>46099</v>
      </c>
      <c r="B204" s="33" t="n"/>
      <c r="C204" s="34" t="n">
        <v>375371.2</v>
      </c>
      <c r="D204" s="33" t="inlineStr">
        <is>
          <t>Credito transf online banking emp</t>
        </is>
      </c>
      <c r="E204" s="32" t="n">
        <v>46099</v>
      </c>
      <c r="F204" s="34" t="n">
        <v>375371.2</v>
      </c>
      <c r="G204" s="33" t="n"/>
      <c r="H204" s="33" t="inlineStr">
        <is>
          <t>MOVFONDOS - 7553</t>
        </is>
      </c>
      <c r="I204" s="34" t="n">
        <v>0</v>
      </c>
      <c r="J204" s="33" t="n">
        <v>0</v>
      </c>
      <c r="K204" s="35" t="inlineStr">
        <is>
          <t>EXACTO</t>
        </is>
      </c>
      <c r="L204" s="33" t="inlineStr">
        <is>
          <t>CONCILIADO</t>
        </is>
      </c>
      <c r="M204" s="33" t="n"/>
    </row>
    <row r="205">
      <c r="A205" s="32" t="n">
        <v>46099</v>
      </c>
      <c r="B205" s="34" t="n">
        <v>11000000</v>
      </c>
      <c r="C205" s="33" t="n"/>
      <c r="D205" s="33" t="inlineStr">
        <is>
          <t>Suscripcion fondos comunes invers</t>
        </is>
      </c>
      <c r="E205" s="32" t="n">
        <v>46099</v>
      </c>
      <c r="F205" s="33" t="n"/>
      <c r="G205" s="34" t="n">
        <v>11000000</v>
      </c>
      <c r="H205" s="33" t="inlineStr">
        <is>
          <t>MOVFONDOS - 7548</t>
        </is>
      </c>
      <c r="I205" s="34" t="n">
        <v>0</v>
      </c>
      <c r="J205" s="33" t="n">
        <v>0</v>
      </c>
      <c r="K205" s="35" t="inlineStr">
        <is>
          <t>EXACTO</t>
        </is>
      </c>
      <c r="L205" s="33" t="inlineStr">
        <is>
          <t>CONCILIADO</t>
        </is>
      </c>
      <c r="M205" s="33" t="n"/>
    </row>
    <row r="206">
      <c r="A206" s="32" t="n">
        <v>46099</v>
      </c>
      <c r="B206" s="33" t="n"/>
      <c r="C206" s="34" t="n">
        <v>393794.5</v>
      </c>
      <c r="D206" s="33" t="inlineStr">
        <is>
          <t>Transferencia recibida</t>
        </is>
      </c>
      <c r="E206" s="32" t="n">
        <v>46099</v>
      </c>
      <c r="F206" s="34" t="n">
        <v>393794.5</v>
      </c>
      <c r="G206" s="33" t="n"/>
      <c r="H206" s="33" t="inlineStr">
        <is>
          <t>MOVFONDOS - 7552</t>
        </is>
      </c>
      <c r="I206" s="34" t="n">
        <v>0</v>
      </c>
      <c r="J206" s="33" t="n">
        <v>0</v>
      </c>
      <c r="K206" s="35" t="inlineStr">
        <is>
          <t>EXACTO</t>
        </is>
      </c>
      <c r="L206" s="33" t="inlineStr">
        <is>
          <t>CONCILIADO</t>
        </is>
      </c>
      <c r="M206" s="33" t="n"/>
    </row>
    <row r="207">
      <c r="A207" s="32" t="n">
        <v>46099</v>
      </c>
      <c r="B207" s="34" t="n">
        <v>450000</v>
      </c>
      <c r="C207" s="33" t="n"/>
      <c r="D207" s="33" t="inlineStr">
        <is>
          <t>Transferencia realizada</t>
        </is>
      </c>
      <c r="E207" s="32" t="n">
        <v>46099</v>
      </c>
      <c r="F207" s="33" t="n"/>
      <c r="G207" s="34" t="n">
        <v>450000</v>
      </c>
      <c r="H207" s="33" t="inlineStr">
        <is>
          <t>PAGO - 3036</t>
        </is>
      </c>
      <c r="I207" s="34" t="n">
        <v>0</v>
      </c>
      <c r="J207" s="33" t="n">
        <v>0</v>
      </c>
      <c r="K207" s="35" t="inlineStr">
        <is>
          <t>EXACTO</t>
        </is>
      </c>
      <c r="L207" s="33" t="inlineStr">
        <is>
          <t>CONCILIADO</t>
        </is>
      </c>
      <c r="M207" s="33" t="n"/>
    </row>
    <row r="208">
      <c r="A208" s="32" t="n">
        <v>46099</v>
      </c>
      <c r="B208" s="33" t="n"/>
      <c r="C208" s="34" t="n">
        <v>1252079.22</v>
      </c>
      <c r="D208" s="33" t="inlineStr">
        <is>
          <t>Pago a proveedores recibido</t>
        </is>
      </c>
      <c r="E208" s="32" t="n">
        <v>46099</v>
      </c>
      <c r="F208" s="34" t="n">
        <v>1252079.22</v>
      </c>
      <c r="G208" s="33" t="n"/>
      <c r="H208" s="33" t="inlineStr">
        <is>
          <t>MOVFONDOS - 7551</t>
        </is>
      </c>
      <c r="I208" s="34" t="n">
        <v>0</v>
      </c>
      <c r="J208" s="33" t="n">
        <v>0</v>
      </c>
      <c r="K208" s="35" t="inlineStr">
        <is>
          <t>EXACTO</t>
        </is>
      </c>
      <c r="L208" s="33" t="inlineStr">
        <is>
          <t>CONCILIADO</t>
        </is>
      </c>
      <c r="M208" s="33" t="n"/>
    </row>
    <row r="209">
      <c r="A209" s="32" t="n">
        <v>46100</v>
      </c>
      <c r="B209" s="33" t="n"/>
      <c r="C209" s="34" t="n">
        <v>167171.23</v>
      </c>
      <c r="D209" s="33" t="inlineStr">
        <is>
          <t>Pago comercios getnet nro.liq.</t>
        </is>
      </c>
      <c r="E209" s="32" t="n">
        <v>46100</v>
      </c>
      <c r="F209" s="34" t="n">
        <v>167171.23</v>
      </c>
      <c r="G209" s="33" t="n"/>
      <c r="H209" s="33" t="inlineStr">
        <is>
          <t>AGGETNET - 395</t>
        </is>
      </c>
      <c r="I209" s="34" t="n">
        <v>0</v>
      </c>
      <c r="J209" s="33" t="n">
        <v>0</v>
      </c>
      <c r="K209" s="35" t="inlineStr">
        <is>
          <t>EXACTO</t>
        </is>
      </c>
      <c r="L209" s="33" t="inlineStr">
        <is>
          <t>CONCILIADO</t>
        </is>
      </c>
      <c r="M209" s="33" t="n"/>
    </row>
    <row r="210">
      <c r="A210" s="32" t="n">
        <v>46100</v>
      </c>
      <c r="B210" s="34" t="n">
        <v>500000</v>
      </c>
      <c r="C210" s="33" t="n"/>
      <c r="D210" s="33" t="inlineStr">
        <is>
          <t>Transferencia realizada</t>
        </is>
      </c>
      <c r="E210" s="32" t="n">
        <v>46100</v>
      </c>
      <c r="F210" s="33" t="n"/>
      <c r="G210" s="34" t="n">
        <v>500000</v>
      </c>
      <c r="H210" s="33" t="inlineStr">
        <is>
          <t>PAGO - 3038</t>
        </is>
      </c>
      <c r="I210" s="34" t="n">
        <v>0</v>
      </c>
      <c r="J210" s="33" t="n">
        <v>0</v>
      </c>
      <c r="K210" s="35" t="inlineStr">
        <is>
          <t>EXACTO</t>
        </is>
      </c>
      <c r="L210" s="33" t="inlineStr">
        <is>
          <t>CONCILIADO</t>
        </is>
      </c>
      <c r="M210" s="33" t="n"/>
    </row>
    <row r="211">
      <c r="A211" s="32" t="n">
        <v>46100</v>
      </c>
      <c r="B211" s="34" t="n">
        <v>104674.24</v>
      </c>
      <c r="C211" s="33" t="n"/>
      <c r="D211" s="33" t="inlineStr">
        <is>
          <t>Transferencia realizada</t>
        </is>
      </c>
      <c r="E211" s="32" t="n">
        <v>46100</v>
      </c>
      <c r="F211" s="33" t="n"/>
      <c r="G211" s="34" t="n">
        <v>104674.24</v>
      </c>
      <c r="H211" s="33" t="inlineStr">
        <is>
          <t>PAGO - 3040</t>
        </is>
      </c>
      <c r="I211" s="34" t="n">
        <v>0</v>
      </c>
      <c r="J211" s="33" t="n">
        <v>0</v>
      </c>
      <c r="K211" s="35" t="inlineStr">
        <is>
          <t>EXACTO</t>
        </is>
      </c>
      <c r="L211" s="33" t="inlineStr">
        <is>
          <t>CONCILIADO</t>
        </is>
      </c>
      <c r="M211" s="33" t="n"/>
    </row>
    <row r="212">
      <c r="A212" s="32" t="n">
        <v>46100</v>
      </c>
      <c r="B212" s="34" t="n">
        <v>195570</v>
      </c>
      <c r="C212" s="33" t="n"/>
      <c r="D212" s="33" t="inlineStr">
        <is>
          <t>Transferencia realizada</t>
        </is>
      </c>
      <c r="E212" s="32" t="n">
        <v>46100</v>
      </c>
      <c r="F212" s="33" t="n"/>
      <c r="G212" s="34" t="n">
        <v>195570</v>
      </c>
      <c r="H212" s="33" t="inlineStr">
        <is>
          <t>PAGO - 3039</t>
        </is>
      </c>
      <c r="I212" s="34" t="n">
        <v>0</v>
      </c>
      <c r="J212" s="33" t="n">
        <v>0</v>
      </c>
      <c r="K212" s="35" t="inlineStr">
        <is>
          <t>EXACTO</t>
        </is>
      </c>
      <c r="L212" s="33" t="inlineStr">
        <is>
          <t>CONCILIADO</t>
        </is>
      </c>
      <c r="M212" s="33" t="n"/>
    </row>
    <row r="213">
      <c r="A213" s="32" t="n">
        <v>46100</v>
      </c>
      <c r="B213" s="34" t="n">
        <v>181720</v>
      </c>
      <c r="C213" s="33" t="n"/>
      <c r="D213" s="33" t="inlineStr">
        <is>
          <t>Transferencia realizada</t>
        </is>
      </c>
      <c r="E213" s="32" t="n">
        <v>46100</v>
      </c>
      <c r="F213" s="33" t="n"/>
      <c r="G213" s="34" t="n">
        <v>181720</v>
      </c>
      <c r="H213" s="33" t="inlineStr">
        <is>
          <t>PAGO - 3041</t>
        </is>
      </c>
      <c r="I213" s="34" t="n">
        <v>0</v>
      </c>
      <c r="J213" s="33" t="n">
        <v>0</v>
      </c>
      <c r="K213" s="35" t="inlineStr">
        <is>
          <t>EXACTO</t>
        </is>
      </c>
      <c r="L213" s="33" t="inlineStr">
        <is>
          <t>CONCILIADO</t>
        </is>
      </c>
      <c r="M213" s="33" t="n"/>
    </row>
    <row r="214">
      <c r="A214" s="32" t="n">
        <v>46100</v>
      </c>
      <c r="B214" s="34" t="n">
        <v>3623449.92</v>
      </c>
      <c r="C214" s="33" t="n"/>
      <c r="D214" s="33" t="inlineStr">
        <is>
          <t>Pago de servicios</t>
        </is>
      </c>
      <c r="E214" s="32" t="n">
        <v>46100</v>
      </c>
      <c r="F214" s="33" t="n"/>
      <c r="G214" s="34" t="n">
        <v>3623449.92</v>
      </c>
      <c r="H214" s="33" t="inlineStr">
        <is>
          <t>MOVFONDOS - 7563</t>
        </is>
      </c>
      <c r="I214" s="34" t="n">
        <v>0</v>
      </c>
      <c r="J214" s="33" t="n">
        <v>0</v>
      </c>
      <c r="K214" s="35" t="inlineStr">
        <is>
          <t>EXACTO</t>
        </is>
      </c>
      <c r="L214" s="33" t="inlineStr">
        <is>
          <t>CONCILIADO</t>
        </is>
      </c>
      <c r="M214" s="33" t="n"/>
    </row>
    <row r="215">
      <c r="A215" s="32" t="n">
        <v>46100</v>
      </c>
      <c r="B215" s="33" t="n"/>
      <c r="C215" s="34" t="n">
        <v>64102.9</v>
      </c>
      <c r="D215" s="33" t="inlineStr">
        <is>
          <t>Pago a proveedores recibido</t>
        </is>
      </c>
      <c r="E215" s="32" t="n">
        <v>46100</v>
      </c>
      <c r="F215" s="34" t="n">
        <v>64102.9</v>
      </c>
      <c r="G215" s="33" t="n"/>
      <c r="H215" s="33" t="inlineStr">
        <is>
          <t>MOVFONDOS - 7567</t>
        </is>
      </c>
      <c r="I215" s="34" t="n">
        <v>0</v>
      </c>
      <c r="J215" s="33" t="n">
        <v>0</v>
      </c>
      <c r="K215" s="35" t="inlineStr">
        <is>
          <t>EXACTO</t>
        </is>
      </c>
      <c r="L215" s="33" t="inlineStr">
        <is>
          <t>CONCILIADO</t>
        </is>
      </c>
      <c r="M215" s="33" t="n"/>
    </row>
    <row r="216">
      <c r="A216" s="32" t="n">
        <v>46100</v>
      </c>
      <c r="B216" s="33" t="n"/>
      <c r="C216" s="34" t="n">
        <v>10794.93</v>
      </c>
      <c r="D216" s="33" t="inlineStr">
        <is>
          <t>Transferencia ctas mobile banking</t>
        </is>
      </c>
      <c r="E216" s="32" t="n">
        <v>46100</v>
      </c>
      <c r="F216" s="34" t="n">
        <v>10794.93</v>
      </c>
      <c r="G216" s="33" t="n"/>
      <c r="H216" s="33" t="inlineStr">
        <is>
          <t>MOVFONDOS - 7570</t>
        </is>
      </c>
      <c r="I216" s="34" t="n">
        <v>0</v>
      </c>
      <c r="J216" s="33" t="n">
        <v>0</v>
      </c>
      <c r="K216" s="35" t="inlineStr">
        <is>
          <t>EXACTO</t>
        </is>
      </c>
      <c r="L216" s="33" t="inlineStr">
        <is>
          <t>CONCILIADO</t>
        </is>
      </c>
      <c r="M216" s="33" t="n"/>
    </row>
    <row r="217">
      <c r="A217" s="32" t="n">
        <v>46100</v>
      </c>
      <c r="B217" s="33" t="n"/>
      <c r="C217" s="34" t="n">
        <v>302007</v>
      </c>
      <c r="D217" s="33" t="inlineStr">
        <is>
          <t>Transf recibida cvu dif titular</t>
        </is>
      </c>
      <c r="E217" s="32" t="n">
        <v>46100</v>
      </c>
      <c r="F217" s="34" t="n">
        <v>302007</v>
      </c>
      <c r="G217" s="33" t="n"/>
      <c r="H217" s="33" t="inlineStr">
        <is>
          <t>MOVFONDOS - 7574</t>
        </is>
      </c>
      <c r="I217" s="34" t="n">
        <v>0</v>
      </c>
      <c r="J217" s="33" t="n">
        <v>0</v>
      </c>
      <c r="K217" s="35" t="inlineStr">
        <is>
          <t>EXACTO</t>
        </is>
      </c>
      <c r="L217" s="33" t="inlineStr">
        <is>
          <t>CONCILIADO</t>
        </is>
      </c>
      <c r="M217" s="33" t="n"/>
    </row>
    <row r="218">
      <c r="A218" s="32" t="n">
        <v>46100</v>
      </c>
      <c r="B218" s="33" t="n"/>
      <c r="C218" s="34" t="n">
        <v>4261383.52</v>
      </c>
      <c r="D218" s="33" t="inlineStr">
        <is>
          <t>Pago a proveedores recibido</t>
        </is>
      </c>
      <c r="E218" s="32" t="n">
        <v>46100</v>
      </c>
      <c r="F218" s="34" t="n">
        <v>4261383.52</v>
      </c>
      <c r="G218" s="33" t="n"/>
      <c r="H218" s="33" t="inlineStr">
        <is>
          <t>MOVFONDOS - 7575</t>
        </is>
      </c>
      <c r="I218" s="34" t="n">
        <v>0</v>
      </c>
      <c r="J218" s="33" t="n">
        <v>0</v>
      </c>
      <c r="K218" s="35" t="inlineStr">
        <is>
          <t>EXACTO</t>
        </is>
      </c>
      <c r="L218" s="33" t="inlineStr">
        <is>
          <t>CONCILIADO</t>
        </is>
      </c>
      <c r="M218" s="33" t="n"/>
    </row>
    <row r="219">
      <c r="A219" s="32" t="n">
        <v>46100</v>
      </c>
      <c r="B219" s="33" t="n"/>
      <c r="C219" s="34" t="n">
        <v>36568.52</v>
      </c>
      <c r="D219" s="33" t="inlineStr">
        <is>
          <t>Transferencia pagos a terceros</t>
        </is>
      </c>
      <c r="E219" s="32" t="n">
        <v>46100</v>
      </c>
      <c r="F219" s="34" t="n">
        <v>36568.52</v>
      </c>
      <c r="G219" s="33" t="n"/>
      <c r="H219" s="33" t="inlineStr">
        <is>
          <t>MOVFONDOS - 7576</t>
        </is>
      </c>
      <c r="I219" s="34" t="n">
        <v>0</v>
      </c>
      <c r="J219" s="33" t="n">
        <v>0</v>
      </c>
      <c r="K219" s="35" t="inlineStr">
        <is>
          <t>EXACTO</t>
        </is>
      </c>
      <c r="L219" s="33" t="inlineStr">
        <is>
          <t>CONCILIADO</t>
        </is>
      </c>
      <c r="M219" s="33" t="n"/>
    </row>
    <row r="220">
      <c r="A220" s="32" t="n">
        <v>46101</v>
      </c>
      <c r="B220" s="33" t="n"/>
      <c r="C220" s="34" t="n">
        <v>163099.23</v>
      </c>
      <c r="D220" s="33" t="inlineStr">
        <is>
          <t>Pago comercios getnet nro.liq.</t>
        </is>
      </c>
      <c r="E220" s="32" t="n">
        <v>46101</v>
      </c>
      <c r="F220" s="34" t="n">
        <v>163099.23</v>
      </c>
      <c r="G220" s="33" t="n"/>
      <c r="H220" s="33" t="inlineStr">
        <is>
          <t>AGGETNET - 396</t>
        </is>
      </c>
      <c r="I220" s="34" t="n">
        <v>0</v>
      </c>
      <c r="J220" s="33" t="n">
        <v>0</v>
      </c>
      <c r="K220" s="35" t="inlineStr">
        <is>
          <t>EXACTO</t>
        </is>
      </c>
      <c r="L220" s="33" t="inlineStr">
        <is>
          <t>CONCILIADO</t>
        </is>
      </c>
      <c r="M220" s="33" t="n"/>
    </row>
    <row r="221">
      <c r="A221" s="32" t="n">
        <v>46101</v>
      </c>
      <c r="B221" s="34" t="n">
        <v>851420.4</v>
      </c>
      <c r="C221" s="33" t="n"/>
      <c r="D221" s="33" t="inlineStr">
        <is>
          <t>Debito automatico</t>
        </is>
      </c>
      <c r="E221" s="32" t="n">
        <v>46101</v>
      </c>
      <c r="F221" s="33" t="n"/>
      <c r="G221" s="34" t="n">
        <v>851420.4</v>
      </c>
      <c r="H221" s="33" t="inlineStr">
        <is>
          <t>PAGO - 3046</t>
        </is>
      </c>
      <c r="I221" s="34" t="n">
        <v>0</v>
      </c>
      <c r="J221" s="33" t="n">
        <v>0</v>
      </c>
      <c r="K221" s="35" t="inlineStr">
        <is>
          <t>EXACTO</t>
        </is>
      </c>
      <c r="L221" s="33" t="inlineStr">
        <is>
          <t>CONCILIADO</t>
        </is>
      </c>
      <c r="M221" s="33" t="n"/>
    </row>
    <row r="222">
      <c r="A222" s="32" t="n">
        <v>46101</v>
      </c>
      <c r="B222" s="34" t="n">
        <v>538393.3</v>
      </c>
      <c r="C222" s="33" t="n"/>
      <c r="D222" s="33" t="inlineStr">
        <is>
          <t>Debito automatico</t>
        </is>
      </c>
      <c r="E222" s="32" t="n">
        <v>46101</v>
      </c>
      <c r="F222" s="33" t="n"/>
      <c r="G222" s="34" t="n">
        <v>538393.3</v>
      </c>
      <c r="H222" s="33" t="inlineStr">
        <is>
          <t>PAGO - 3045</t>
        </is>
      </c>
      <c r="I222" s="34" t="n">
        <v>0</v>
      </c>
      <c r="J222" s="33" t="n">
        <v>0</v>
      </c>
      <c r="K222" s="35" t="inlineStr">
        <is>
          <t>EXACTO</t>
        </is>
      </c>
      <c r="L222" s="33" t="inlineStr">
        <is>
          <t>CONCILIADO</t>
        </is>
      </c>
      <c r="M222" s="33" t="n"/>
    </row>
    <row r="223">
      <c r="A223" s="32" t="n">
        <v>46101</v>
      </c>
      <c r="B223" s="33" t="n"/>
      <c r="C223" s="34" t="n">
        <v>717.75</v>
      </c>
      <c r="D223" s="33" t="inlineStr">
        <is>
          <t>Transferencia recibida</t>
        </is>
      </c>
      <c r="E223" s="32" t="n">
        <v>46101</v>
      </c>
      <c r="F223" s="34" t="n">
        <v>717.75</v>
      </c>
      <c r="G223" s="33" t="n"/>
      <c r="H223" s="33" t="inlineStr">
        <is>
          <t>MOVFONDOS - 7578</t>
        </is>
      </c>
      <c r="I223" s="34" t="n">
        <v>0</v>
      </c>
      <c r="J223" s="33" t="n">
        <v>0</v>
      </c>
      <c r="K223" s="35" t="inlineStr">
        <is>
          <t>EXACTO</t>
        </is>
      </c>
      <c r="L223" s="33" t="inlineStr">
        <is>
          <t>CONCILIADO</t>
        </is>
      </c>
      <c r="M223" s="33" t="n"/>
    </row>
    <row r="224">
      <c r="A224" s="32" t="n">
        <v>46101</v>
      </c>
      <c r="B224" s="33" t="n"/>
      <c r="C224" s="34" t="n">
        <v>25222.41</v>
      </c>
      <c r="D224" s="33" t="inlineStr">
        <is>
          <t>Pago comercios getnet nro.liq.</t>
        </is>
      </c>
      <c r="E224" s="32" t="n">
        <v>46101</v>
      </c>
      <c r="F224" s="34" t="n">
        <v>25222.41</v>
      </c>
      <c r="G224" s="33" t="n"/>
      <c r="H224" s="33" t="inlineStr">
        <is>
          <t>AGGETNET - 396</t>
        </is>
      </c>
      <c r="I224" s="34" t="n">
        <v>0</v>
      </c>
      <c r="J224" s="33" t="n">
        <v>0</v>
      </c>
      <c r="K224" s="35" t="inlineStr">
        <is>
          <t>EXACTO</t>
        </is>
      </c>
      <c r="L224" s="33" t="inlineStr">
        <is>
          <t>CONCILIADO</t>
        </is>
      </c>
      <c r="M224" s="33" t="n"/>
    </row>
    <row r="225">
      <c r="A225" s="32" t="n">
        <v>46101</v>
      </c>
      <c r="B225" s="33" t="n"/>
      <c r="C225" s="34" t="n">
        <v>145483.63</v>
      </c>
      <c r="D225" s="33" t="inlineStr">
        <is>
          <t>Pago a proveedores recibido</t>
        </is>
      </c>
      <c r="E225" s="32" t="n">
        <v>46101</v>
      </c>
      <c r="F225" s="34" t="n">
        <v>145483.63</v>
      </c>
      <c r="G225" s="33" t="n"/>
      <c r="H225" s="33" t="inlineStr">
        <is>
          <t>MOVFONDOS - 7580</t>
        </is>
      </c>
      <c r="I225" s="34" t="n">
        <v>0</v>
      </c>
      <c r="J225" s="33" t="n">
        <v>0</v>
      </c>
      <c r="K225" s="35" t="inlineStr">
        <is>
          <t>EXACTO</t>
        </is>
      </c>
      <c r="L225" s="33" t="inlineStr">
        <is>
          <t>CONCILIADO</t>
        </is>
      </c>
      <c r="M225" s="33" t="n"/>
    </row>
    <row r="226">
      <c r="A226" s="32" t="n">
        <v>46101</v>
      </c>
      <c r="B226" s="33" t="n"/>
      <c r="C226" s="34" t="n">
        <v>4000000</v>
      </c>
      <c r="D226" s="33" t="inlineStr">
        <is>
          <t>Transf recibida cvu mismo titular</t>
        </is>
      </c>
      <c r="E226" s="32" t="n">
        <v>46101</v>
      </c>
      <c r="F226" s="34" t="n">
        <v>4000000</v>
      </c>
      <c r="G226" s="33" t="n"/>
      <c r="H226" s="33" t="inlineStr">
        <is>
          <t>MOVFONDOS - 7579</t>
        </is>
      </c>
      <c r="I226" s="34" t="n">
        <v>0</v>
      </c>
      <c r="J226" s="33" t="n">
        <v>0</v>
      </c>
      <c r="K226" s="35" t="inlineStr">
        <is>
          <t>EXACTO</t>
        </is>
      </c>
      <c r="L226" s="33" t="inlineStr">
        <is>
          <t>CONCILIADO</t>
        </is>
      </c>
      <c r="M226" s="33" t="n"/>
    </row>
    <row r="227">
      <c r="A227" s="32" t="n">
        <v>46101</v>
      </c>
      <c r="B227" s="33" t="n"/>
      <c r="C227" s="34" t="n">
        <v>309276</v>
      </c>
      <c r="D227" s="33" t="inlineStr">
        <is>
          <t>Transf recibida cvu dif titular</t>
        </is>
      </c>
      <c r="E227" s="32" t="n">
        <v>46101</v>
      </c>
      <c r="F227" s="34" t="n">
        <v>309276</v>
      </c>
      <c r="G227" s="33" t="n"/>
      <c r="H227" s="33" t="inlineStr">
        <is>
          <t>MOVFONDOS - 7581</t>
        </is>
      </c>
      <c r="I227" s="34" t="n">
        <v>0</v>
      </c>
      <c r="J227" s="33" t="n">
        <v>0</v>
      </c>
      <c r="K227" s="35" t="inlineStr">
        <is>
          <t>EXACTO</t>
        </is>
      </c>
      <c r="L227" s="33" t="inlineStr">
        <is>
          <t>CONCILIADO</t>
        </is>
      </c>
      <c r="M227" s="33" t="n"/>
    </row>
    <row r="228">
      <c r="A228" s="32" t="n">
        <v>46101</v>
      </c>
      <c r="B228" s="33" t="n"/>
      <c r="C228" s="34" t="n">
        <v>140030.04</v>
      </c>
      <c r="D228" s="33" t="inlineStr">
        <is>
          <t>Transferencia recibida</t>
        </is>
      </c>
      <c r="E228" s="32" t="n">
        <v>46101</v>
      </c>
      <c r="F228" s="34" t="n">
        <v>140030.04</v>
      </c>
      <c r="G228" s="33" t="n"/>
      <c r="H228" s="33" t="inlineStr">
        <is>
          <t>MOVFONDOS - 7582</t>
        </is>
      </c>
      <c r="I228" s="34" t="n">
        <v>0</v>
      </c>
      <c r="J228" s="33" t="n">
        <v>0</v>
      </c>
      <c r="K228" s="35" t="inlineStr">
        <is>
          <t>EXACTO</t>
        </is>
      </c>
      <c r="L228" s="33" t="inlineStr">
        <is>
          <t>CONCILIADO</t>
        </is>
      </c>
      <c r="M228" s="33" t="n"/>
    </row>
    <row r="229">
      <c r="A229" s="32" t="n">
        <v>46101</v>
      </c>
      <c r="B229" s="33" t="n"/>
      <c r="C229" s="34" t="n">
        <v>167919.12</v>
      </c>
      <c r="D229" s="33" t="inlineStr">
        <is>
          <t>Transferencia recibida</t>
        </is>
      </c>
      <c r="E229" s="32" t="n">
        <v>46101</v>
      </c>
      <c r="F229" s="34" t="n">
        <v>167919.12</v>
      </c>
      <c r="G229" s="33" t="n"/>
      <c r="H229" s="33" t="inlineStr">
        <is>
          <t>MOVFONDOS - 7583</t>
        </is>
      </c>
      <c r="I229" s="34" t="n">
        <v>0</v>
      </c>
      <c r="J229" s="33" t="n">
        <v>0</v>
      </c>
      <c r="K229" s="35" t="inlineStr">
        <is>
          <t>EXACTO</t>
        </is>
      </c>
      <c r="L229" s="33" t="inlineStr">
        <is>
          <t>CONCILIADO</t>
        </is>
      </c>
      <c r="M229" s="33" t="n"/>
    </row>
    <row r="230">
      <c r="A230" s="32" t="n">
        <v>46101</v>
      </c>
      <c r="B230" s="34" t="n">
        <v>3000000</v>
      </c>
      <c r="C230" s="33" t="n"/>
      <c r="D230" s="33" t="inlineStr">
        <is>
          <t>Suscripcion fondos comunes invers</t>
        </is>
      </c>
      <c r="E230" s="32" t="n">
        <v>46101</v>
      </c>
      <c r="F230" s="33" t="n"/>
      <c r="G230" s="34" t="n">
        <v>3000000</v>
      </c>
      <c r="H230" s="33" t="inlineStr">
        <is>
          <t>MOVFONDOS - 7584</t>
        </is>
      </c>
      <c r="I230" s="34" t="n">
        <v>0</v>
      </c>
      <c r="J230" s="33" t="n">
        <v>0</v>
      </c>
      <c r="K230" s="35" t="inlineStr">
        <is>
          <t>EXACTO</t>
        </is>
      </c>
      <c r="L230" s="33" t="inlineStr">
        <is>
          <t>CONCILIADO</t>
        </is>
      </c>
      <c r="M230" s="33" t="n"/>
    </row>
    <row r="231">
      <c r="A231" s="32" t="n">
        <v>46101</v>
      </c>
      <c r="B231" s="33" t="n"/>
      <c r="C231" s="34" t="n">
        <v>2489256.3</v>
      </c>
      <c r="D231" s="33" t="inlineStr">
        <is>
          <t>Transferencia recibida</t>
        </is>
      </c>
      <c r="E231" s="32" t="n">
        <v>46101</v>
      </c>
      <c r="F231" s="34" t="n">
        <v>2489256.3</v>
      </c>
      <c r="G231" s="33" t="n"/>
      <c r="H231" s="33" t="inlineStr">
        <is>
          <t>MOVFONDOS - 7588</t>
        </is>
      </c>
      <c r="I231" s="34" t="n">
        <v>0</v>
      </c>
      <c r="J231" s="33" t="n">
        <v>0</v>
      </c>
      <c r="K231" s="35" t="inlineStr">
        <is>
          <t>EXACTO</t>
        </is>
      </c>
      <c r="L231" s="33" t="inlineStr">
        <is>
          <t>CONCILIADO</t>
        </is>
      </c>
      <c r="M231" s="33" t="n"/>
    </row>
    <row r="232">
      <c r="A232" s="32" t="n">
        <v>46101</v>
      </c>
      <c r="B232" s="33" t="n"/>
      <c r="C232" s="34" t="n">
        <v>1836790.52</v>
      </c>
      <c r="D232" s="33" t="inlineStr">
        <is>
          <t>Pago a proveedores recibido</t>
        </is>
      </c>
      <c r="E232" s="32" t="n">
        <v>46101</v>
      </c>
      <c r="F232" s="34" t="n">
        <v>1836790.52</v>
      </c>
      <c r="G232" s="33" t="n"/>
      <c r="H232" s="33" t="inlineStr">
        <is>
          <t>MOVFONDOS - 7587</t>
        </is>
      </c>
      <c r="I232" s="34" t="n">
        <v>0</v>
      </c>
      <c r="J232" s="33" t="n">
        <v>0</v>
      </c>
      <c r="K232" s="35" t="inlineStr">
        <is>
          <t>EXACTO</t>
        </is>
      </c>
      <c r="L232" s="33" t="inlineStr">
        <is>
          <t>CONCILIADO</t>
        </is>
      </c>
      <c r="M232" s="33" t="n"/>
    </row>
    <row r="233">
      <c r="A233" s="32" t="n">
        <v>46101</v>
      </c>
      <c r="B233" s="33" t="n"/>
      <c r="C233" s="34" t="n">
        <v>1233857.62</v>
      </c>
      <c r="D233" s="33" t="inlineStr">
        <is>
          <t>Pago a proveedores recibido</t>
        </is>
      </c>
      <c r="E233" s="32" t="n">
        <v>46101</v>
      </c>
      <c r="F233" s="34" t="n">
        <v>1233857.62</v>
      </c>
      <c r="G233" s="33" t="n"/>
      <c r="H233" s="33" t="inlineStr">
        <is>
          <t>MOVFONDOS - 7586</t>
        </is>
      </c>
      <c r="I233" s="34" t="n">
        <v>0</v>
      </c>
      <c r="J233" s="33" t="n">
        <v>0</v>
      </c>
      <c r="K233" s="35" t="inlineStr">
        <is>
          <t>EXACTO</t>
        </is>
      </c>
      <c r="L233" s="33" t="inlineStr">
        <is>
          <t>CONCILIADO</t>
        </is>
      </c>
      <c r="M233" s="33" t="n"/>
    </row>
    <row r="234">
      <c r="A234" s="32" t="n">
        <v>46104</v>
      </c>
      <c r="B234" s="33" t="n"/>
      <c r="C234" s="34" t="n">
        <v>89720.88</v>
      </c>
      <c r="D234" s="33" t="inlineStr">
        <is>
          <t>Transferencia recibida</t>
        </is>
      </c>
      <c r="E234" s="32" t="n">
        <v>46104</v>
      </c>
      <c r="F234" s="34" t="n">
        <v>89720.88</v>
      </c>
      <c r="G234" s="33" t="n"/>
      <c r="H234" s="33" t="inlineStr">
        <is>
          <t>MOVFONDOS - 7589</t>
        </is>
      </c>
      <c r="I234" s="34" t="n">
        <v>0</v>
      </c>
      <c r="J234" s="33" t="n">
        <v>0</v>
      </c>
      <c r="K234" s="35" t="inlineStr">
        <is>
          <t>EXACTO</t>
        </is>
      </c>
      <c r="L234" s="33" t="inlineStr">
        <is>
          <t>CONCILIADO</t>
        </is>
      </c>
      <c r="M234" s="33" t="n"/>
    </row>
    <row r="235">
      <c r="A235" s="32" t="n">
        <v>46104</v>
      </c>
      <c r="B235" s="33" t="n"/>
      <c r="C235" s="34" t="n">
        <v>90764.52</v>
      </c>
      <c r="D235" s="33" t="inlineStr">
        <is>
          <t>Transferencia recibida</t>
        </is>
      </c>
      <c r="E235" s="32" t="n">
        <v>46104</v>
      </c>
      <c r="F235" s="34" t="n">
        <v>90764.52</v>
      </c>
      <c r="G235" s="33" t="n"/>
      <c r="H235" s="33" t="inlineStr">
        <is>
          <t>MOVFONDOS - 7593</t>
        </is>
      </c>
      <c r="I235" s="34" t="n">
        <v>0</v>
      </c>
      <c r="J235" s="33" t="n">
        <v>0</v>
      </c>
      <c r="K235" s="35" t="inlineStr">
        <is>
          <t>EXACTO</t>
        </is>
      </c>
      <c r="L235" s="33" t="inlineStr">
        <is>
          <t>CONCILIADO</t>
        </is>
      </c>
      <c r="M235" s="33" t="n"/>
    </row>
    <row r="236">
      <c r="A236" s="32" t="n">
        <v>46105</v>
      </c>
      <c r="B236" s="33" t="n"/>
      <c r="C236" s="34" t="n">
        <v>13316.45</v>
      </c>
      <c r="D236" s="33" t="inlineStr">
        <is>
          <t>Transferencia ctas mobile banking</t>
        </is>
      </c>
      <c r="E236" s="32" t="n">
        <v>46105</v>
      </c>
      <c r="F236" s="34" t="n">
        <v>13316.45</v>
      </c>
      <c r="G236" s="33" t="n"/>
      <c r="H236" s="33" t="inlineStr">
        <is>
          <t>MOVFONDOS - 7597</t>
        </is>
      </c>
      <c r="I236" s="34" t="n">
        <v>0</v>
      </c>
      <c r="J236" s="33" t="n">
        <v>0</v>
      </c>
      <c r="K236" s="35" t="inlineStr">
        <is>
          <t>EXACTO</t>
        </is>
      </c>
      <c r="L236" s="33" t="inlineStr">
        <is>
          <t>CONCILIADO</t>
        </is>
      </c>
      <c r="M236" s="33" t="n"/>
    </row>
    <row r="237">
      <c r="A237" s="32" t="n">
        <v>46106</v>
      </c>
      <c r="B237" s="34" t="n">
        <v>13737.76</v>
      </c>
      <c r="C237" s="33" t="n"/>
      <c r="D237" s="33" t="inlineStr">
        <is>
          <t>Pago comercios getnet nro.liq.</t>
        </is>
      </c>
      <c r="E237" s="32" t="n">
        <v>46106</v>
      </c>
      <c r="F237" s="33" t="n"/>
      <c r="G237" s="34" t="n">
        <v>13737.76</v>
      </c>
      <c r="H237" s="33" t="inlineStr">
        <is>
          <t>AGGETNET - 397</t>
        </is>
      </c>
      <c r="I237" s="34" t="n">
        <v>0</v>
      </c>
      <c r="J237" s="33" t="n">
        <v>0</v>
      </c>
      <c r="K237" s="35" t="inlineStr">
        <is>
          <t>EXACTO</t>
        </is>
      </c>
      <c r="L237" s="33" t="inlineStr">
        <is>
          <t>CONCILIADO</t>
        </is>
      </c>
      <c r="M237" s="33" t="n"/>
    </row>
    <row r="238">
      <c r="A238" s="32" t="n">
        <v>46106</v>
      </c>
      <c r="B238" s="33" t="n"/>
      <c r="C238" s="34" t="n">
        <v>1000000</v>
      </c>
      <c r="D238" s="33" t="inlineStr">
        <is>
          <t>Transf recibida cvu mismo titular</t>
        </is>
      </c>
      <c r="E238" s="32" t="n">
        <v>46106</v>
      </c>
      <c r="F238" s="34" t="n">
        <v>1000000</v>
      </c>
      <c r="G238" s="33" t="n"/>
      <c r="H238" s="33" t="inlineStr">
        <is>
          <t>MOVFONDOS - 7604</t>
        </is>
      </c>
      <c r="I238" s="34" t="n">
        <v>0</v>
      </c>
      <c r="J238" s="33" t="n">
        <v>0</v>
      </c>
      <c r="K238" s="35" t="inlineStr">
        <is>
          <t>EXACTO</t>
        </is>
      </c>
      <c r="L238" s="33" t="inlineStr">
        <is>
          <t>CONCILIADO</t>
        </is>
      </c>
      <c r="M238" s="33" t="n"/>
    </row>
    <row r="239">
      <c r="A239" s="32" t="n">
        <v>46106</v>
      </c>
      <c r="B239" s="33" t="n"/>
      <c r="C239" s="34" t="n">
        <v>163226.26</v>
      </c>
      <c r="D239" s="33" t="inlineStr">
        <is>
          <t>Credito transf online banking emp</t>
        </is>
      </c>
      <c r="E239" s="32" t="n">
        <v>46106</v>
      </c>
      <c r="F239" s="34" t="n">
        <v>163226.26</v>
      </c>
      <c r="G239" s="33" t="n"/>
      <c r="H239" s="33" t="inlineStr">
        <is>
          <t>MOVFONDOS - 7598</t>
        </is>
      </c>
      <c r="I239" s="34" t="n">
        <v>0</v>
      </c>
      <c r="J239" s="33" t="n">
        <v>0</v>
      </c>
      <c r="K239" s="35" t="inlineStr">
        <is>
          <t>EXACTO</t>
        </is>
      </c>
      <c r="L239" s="33" t="inlineStr">
        <is>
          <t>CONCILIADO</t>
        </is>
      </c>
      <c r="M239" s="33" t="n"/>
    </row>
    <row r="240">
      <c r="A240" s="32" t="n">
        <v>46106</v>
      </c>
      <c r="B240" s="33" t="n"/>
      <c r="C240" s="34" t="n">
        <v>199383.29</v>
      </c>
      <c r="D240" s="33" t="inlineStr">
        <is>
          <t>Transferencia recibida</t>
        </is>
      </c>
      <c r="E240" s="32" t="n">
        <v>46106</v>
      </c>
      <c r="F240" s="34" t="n">
        <v>199383.29</v>
      </c>
      <c r="G240" s="33" t="n"/>
      <c r="H240" s="33" t="inlineStr">
        <is>
          <t>MOVFONDOS - 7599</t>
        </is>
      </c>
      <c r="I240" s="34" t="n">
        <v>0</v>
      </c>
      <c r="J240" s="33" t="n">
        <v>0</v>
      </c>
      <c r="K240" s="35" t="inlineStr">
        <is>
          <t>EXACTO</t>
        </is>
      </c>
      <c r="L240" s="33" t="inlineStr">
        <is>
          <t>CONCILIADO</t>
        </is>
      </c>
      <c r="M240" s="33" t="n"/>
    </row>
    <row r="241">
      <c r="A241" s="32" t="n">
        <v>46106</v>
      </c>
      <c r="B241" s="33" t="n"/>
      <c r="C241" s="34" t="n">
        <v>6000000</v>
      </c>
      <c r="D241" s="33" t="inlineStr">
        <is>
          <t>Transferencia recibida</t>
        </is>
      </c>
      <c r="E241" s="32" t="n">
        <v>46106</v>
      </c>
      <c r="F241" s="34" t="n">
        <v>6000000</v>
      </c>
      <c r="G241" s="33" t="n"/>
      <c r="H241" s="33" t="inlineStr">
        <is>
          <t>MOVFONDOS - 7606</t>
        </is>
      </c>
      <c r="I241" s="34" t="n">
        <v>0</v>
      </c>
      <c r="J241" s="33" t="n">
        <v>0</v>
      </c>
      <c r="K241" s="35" t="inlineStr">
        <is>
          <t>EXACTO</t>
        </is>
      </c>
      <c r="L241" s="33" t="inlineStr">
        <is>
          <t>CONCILIADO</t>
        </is>
      </c>
      <c r="M241" s="33" t="n"/>
    </row>
    <row r="242">
      <c r="A242" s="32" t="n">
        <v>46106</v>
      </c>
      <c r="B242" s="34" t="n">
        <v>250092.5</v>
      </c>
      <c r="C242" s="33" t="n"/>
      <c r="D242" s="33" t="inlineStr">
        <is>
          <t>Debito transf. online banking emp</t>
        </is>
      </c>
      <c r="E242" s="32" t="n">
        <v>46106</v>
      </c>
      <c r="F242" s="33" t="n"/>
      <c r="G242" s="34" t="n">
        <v>250092.5</v>
      </c>
      <c r="H242" s="33" t="inlineStr">
        <is>
          <t>PAGO - 3078</t>
        </is>
      </c>
      <c r="I242" s="34" t="n">
        <v>0</v>
      </c>
      <c r="J242" s="33" t="n">
        <v>0</v>
      </c>
      <c r="K242" s="35" t="inlineStr">
        <is>
          <t>EXACTO</t>
        </is>
      </c>
      <c r="L242" s="33" t="inlineStr">
        <is>
          <t>CONCILIADO</t>
        </is>
      </c>
      <c r="M242" s="33" t="n"/>
    </row>
    <row r="243">
      <c r="A243" s="32" t="n">
        <v>46106</v>
      </c>
      <c r="B243" s="34" t="n">
        <v>117854.59</v>
      </c>
      <c r="C243" s="33" t="n"/>
      <c r="D243" s="33" t="inlineStr">
        <is>
          <t>Debito transf. online banking emp</t>
        </is>
      </c>
      <c r="E243" s="32" t="n">
        <v>46106</v>
      </c>
      <c r="F243" s="33" t="n"/>
      <c r="G243" s="34" t="n">
        <v>117854.59</v>
      </c>
      <c r="H243" s="33" t="inlineStr">
        <is>
          <t>PAGO - 3077</t>
        </is>
      </c>
      <c r="I243" s="34" t="n">
        <v>0</v>
      </c>
      <c r="J243" s="33" t="n">
        <v>0</v>
      </c>
      <c r="K243" s="35" t="inlineStr">
        <is>
          <t>EXACTO</t>
        </is>
      </c>
      <c r="L243" s="33" t="inlineStr">
        <is>
          <t>CONCILIADO</t>
        </is>
      </c>
      <c r="M243" s="33" t="n"/>
    </row>
    <row r="244">
      <c r="A244" s="32" t="n">
        <v>46106</v>
      </c>
      <c r="B244" s="34" t="n">
        <v>4108378.73</v>
      </c>
      <c r="C244" s="33" t="n"/>
      <c r="D244" s="33" t="inlineStr">
        <is>
          <t>Transferencia realizada</t>
        </is>
      </c>
      <c r="E244" s="32" t="n">
        <v>46106</v>
      </c>
      <c r="F244" s="33" t="n"/>
      <c r="G244" s="34" t="n">
        <v>4108378.73</v>
      </c>
      <c r="H244" s="33" t="inlineStr">
        <is>
          <t>MOVFONDOS - 7600</t>
        </is>
      </c>
      <c r="I244" s="34" t="n">
        <v>0</v>
      </c>
      <c r="J244" s="33" t="n">
        <v>0</v>
      </c>
      <c r="K244" s="35" t="inlineStr">
        <is>
          <t>EXACTO</t>
        </is>
      </c>
      <c r="L244" s="33" t="inlineStr">
        <is>
          <t>CONCILIADO</t>
        </is>
      </c>
      <c r="M244" s="33" t="n"/>
    </row>
    <row r="245">
      <c r="A245" s="32" t="n">
        <v>46106</v>
      </c>
      <c r="B245" s="34" t="n">
        <v>63907.44</v>
      </c>
      <c r="C245" s="33" t="n"/>
      <c r="D245" s="33" t="inlineStr">
        <is>
          <t>Debito transf. online banking emp</t>
        </is>
      </c>
      <c r="E245" s="32" t="n">
        <v>46106</v>
      </c>
      <c r="F245" s="33" t="n"/>
      <c r="G245" s="34" t="n">
        <v>63907.44</v>
      </c>
      <c r="H245" s="33" t="inlineStr">
        <is>
          <t>PAGO - 3076</t>
        </is>
      </c>
      <c r="I245" s="34" t="n">
        <v>0</v>
      </c>
      <c r="J245" s="33" t="n">
        <v>0</v>
      </c>
      <c r="K245" s="35" t="inlineStr">
        <is>
          <t>EXACTO</t>
        </is>
      </c>
      <c r="L245" s="33" t="inlineStr">
        <is>
          <t>CONCILIADO</t>
        </is>
      </c>
      <c r="M245" s="33" t="n"/>
    </row>
    <row r="246">
      <c r="A246" s="32" t="n">
        <v>46106</v>
      </c>
      <c r="B246" s="34" t="n">
        <v>810669.2</v>
      </c>
      <c r="C246" s="33" t="n"/>
      <c r="D246" s="33" t="inlineStr">
        <is>
          <t>Transferencia realizada</t>
        </is>
      </c>
      <c r="E246" s="32" t="n">
        <v>46106</v>
      </c>
      <c r="F246" s="33" t="n"/>
      <c r="G246" s="34" t="n">
        <v>810669.2</v>
      </c>
      <c r="H246" s="33" t="inlineStr">
        <is>
          <t>PAGO - 3075</t>
        </is>
      </c>
      <c r="I246" s="34" t="n">
        <v>0</v>
      </c>
      <c r="J246" s="33" t="n">
        <v>0</v>
      </c>
      <c r="K246" s="35" t="inlineStr">
        <is>
          <t>EXACTO</t>
        </is>
      </c>
      <c r="L246" s="33" t="inlineStr">
        <is>
          <t>CONCILIADO</t>
        </is>
      </c>
      <c r="M246" s="33" t="n"/>
    </row>
    <row r="247">
      <c r="A247" s="32" t="n">
        <v>46106</v>
      </c>
      <c r="B247" s="34" t="n">
        <v>1536141.96</v>
      </c>
      <c r="C247" s="33" t="n"/>
      <c r="D247" s="33" t="inlineStr">
        <is>
          <t>Transferencia realizada</t>
        </is>
      </c>
      <c r="E247" s="32" t="n">
        <v>46106</v>
      </c>
      <c r="F247" s="33" t="n"/>
      <c r="G247" s="34" t="n">
        <v>1536141.96</v>
      </c>
      <c r="H247" s="33" t="inlineStr">
        <is>
          <t>PAGO - 3074</t>
        </is>
      </c>
      <c r="I247" s="34" t="n">
        <v>0</v>
      </c>
      <c r="J247" s="33" t="n">
        <v>0</v>
      </c>
      <c r="K247" s="35" t="inlineStr">
        <is>
          <t>EXACTO</t>
        </is>
      </c>
      <c r="L247" s="33" t="inlineStr">
        <is>
          <t>CONCILIADO</t>
        </is>
      </c>
      <c r="M247" s="33" t="n"/>
    </row>
    <row r="248">
      <c r="A248" s="32" t="n">
        <v>46106</v>
      </c>
      <c r="B248" s="34" t="n">
        <v>386428.77</v>
      </c>
      <c r="C248" s="33" t="n"/>
      <c r="D248" s="33" t="inlineStr">
        <is>
          <t>Transferencia realizada</t>
        </is>
      </c>
      <c r="E248" s="32" t="n">
        <v>46106</v>
      </c>
      <c r="F248" s="33" t="n"/>
      <c r="G248" s="34" t="n">
        <v>386428.77</v>
      </c>
      <c r="H248" s="33" t="inlineStr">
        <is>
          <t>PAGO - 3073</t>
        </is>
      </c>
      <c r="I248" s="34" t="n">
        <v>0</v>
      </c>
      <c r="J248" s="33" t="n">
        <v>0</v>
      </c>
      <c r="K248" s="35" t="inlineStr">
        <is>
          <t>EXACTO</t>
        </is>
      </c>
      <c r="L248" s="33" t="inlineStr">
        <is>
          <t>CONCILIADO</t>
        </is>
      </c>
      <c r="M248" s="33" t="n"/>
    </row>
    <row r="249">
      <c r="A249" s="32" t="n">
        <v>46106</v>
      </c>
      <c r="B249" s="34" t="n">
        <v>1006489.17</v>
      </c>
      <c r="C249" s="33" t="n"/>
      <c r="D249" s="33" t="inlineStr">
        <is>
          <t>Transferencia realizada</t>
        </is>
      </c>
      <c r="E249" s="32" t="n">
        <v>46106</v>
      </c>
      <c r="F249" s="33" t="n"/>
      <c r="G249" s="34" t="n">
        <v>1006489.17</v>
      </c>
      <c r="H249" s="33" t="inlineStr">
        <is>
          <t>PAGO - 3072</t>
        </is>
      </c>
      <c r="I249" s="34" t="n">
        <v>0</v>
      </c>
      <c r="J249" s="33" t="n">
        <v>0</v>
      </c>
      <c r="K249" s="35" t="inlineStr">
        <is>
          <t>EXACTO</t>
        </is>
      </c>
      <c r="L249" s="33" t="inlineStr">
        <is>
          <t>CONCILIADO</t>
        </is>
      </c>
      <c r="M249" s="33" t="n"/>
    </row>
    <row r="250">
      <c r="A250" s="32" t="n">
        <v>46106</v>
      </c>
      <c r="B250" s="34" t="n">
        <v>52889.1</v>
      </c>
      <c r="C250" s="33" t="n"/>
      <c r="D250" s="33" t="inlineStr">
        <is>
          <t>Transferencia realizada</t>
        </is>
      </c>
      <c r="E250" s="32" t="n">
        <v>46106</v>
      </c>
      <c r="F250" s="33" t="n"/>
      <c r="G250" s="34" t="n">
        <v>52889.1</v>
      </c>
      <c r="H250" s="33" t="inlineStr">
        <is>
          <t>PAGO - 3083</t>
        </is>
      </c>
      <c r="I250" s="34" t="n">
        <v>0</v>
      </c>
      <c r="J250" s="33" t="n">
        <v>0</v>
      </c>
      <c r="K250" s="35" t="inlineStr">
        <is>
          <t>EXACTO</t>
        </is>
      </c>
      <c r="L250" s="33" t="inlineStr">
        <is>
          <t>CONCILIADO</t>
        </is>
      </c>
      <c r="M250" s="33" t="n"/>
    </row>
    <row r="251">
      <c r="A251" s="32" t="n">
        <v>46106</v>
      </c>
      <c r="B251" s="34" t="n">
        <v>259806.86</v>
      </c>
      <c r="C251" s="33" t="n"/>
      <c r="D251" s="33" t="inlineStr">
        <is>
          <t>Transferencia realizada</t>
        </is>
      </c>
      <c r="E251" s="32" t="n">
        <v>46106</v>
      </c>
      <c r="F251" s="33" t="n"/>
      <c r="G251" s="34" t="n">
        <v>259806.86</v>
      </c>
      <c r="H251" s="33" t="inlineStr">
        <is>
          <t>PAGO - 3079</t>
        </is>
      </c>
      <c r="I251" s="34" t="n">
        <v>0</v>
      </c>
      <c r="J251" s="33" t="n">
        <v>0</v>
      </c>
      <c r="K251" s="35" t="inlineStr">
        <is>
          <t>EXACTO</t>
        </is>
      </c>
      <c r="L251" s="33" t="inlineStr">
        <is>
          <t>CONCILIADO</t>
        </is>
      </c>
      <c r="M251" s="33" t="n"/>
    </row>
    <row r="252">
      <c r="A252" s="32" t="n">
        <v>46106</v>
      </c>
      <c r="B252" s="34" t="n">
        <v>253421.8</v>
      </c>
      <c r="C252" s="33" t="n"/>
      <c r="D252" s="33" t="inlineStr">
        <is>
          <t>Pago de servicios</t>
        </is>
      </c>
      <c r="E252" s="32" t="n">
        <v>46106</v>
      </c>
      <c r="F252" s="33" t="n"/>
      <c r="G252" s="34" t="n">
        <v>253421.8</v>
      </c>
      <c r="H252" s="33" t="inlineStr">
        <is>
          <t>MOVFONDOS - 7603</t>
        </is>
      </c>
      <c r="I252" s="34" t="n">
        <v>0</v>
      </c>
      <c r="J252" s="33" t="n">
        <v>0</v>
      </c>
      <c r="K252" s="35" t="inlineStr">
        <is>
          <t>EXACTO</t>
        </is>
      </c>
      <c r="L252" s="33" t="inlineStr">
        <is>
          <t>CONCILIADO</t>
        </is>
      </c>
      <c r="M252" s="33" t="n"/>
    </row>
    <row r="253">
      <c r="A253" s="32" t="n">
        <v>46106</v>
      </c>
      <c r="B253" s="34" t="n">
        <v>851000</v>
      </c>
      <c r="C253" s="33" t="n"/>
      <c r="D253" s="33" t="inlineStr">
        <is>
          <t>Transferencia realizada</t>
        </is>
      </c>
      <c r="E253" s="32" t="n">
        <v>46106</v>
      </c>
      <c r="F253" s="33" t="n"/>
      <c r="G253" s="34" t="n">
        <v>851000</v>
      </c>
      <c r="H253" s="33" t="inlineStr">
        <is>
          <t>MOVFONDOS - 7602</t>
        </is>
      </c>
      <c r="I253" s="34" t="n">
        <v>0</v>
      </c>
      <c r="J253" s="33" t="n">
        <v>0</v>
      </c>
      <c r="K253" s="35" t="inlineStr">
        <is>
          <t>EXACTO</t>
        </is>
      </c>
      <c r="L253" s="33" t="inlineStr">
        <is>
          <t>CONCILIADO</t>
        </is>
      </c>
      <c r="M253" s="33" t="n"/>
    </row>
    <row r="254">
      <c r="A254" s="32" t="n">
        <v>46106</v>
      </c>
      <c r="B254" s="33" t="n"/>
      <c r="C254" s="34" t="n">
        <v>612349.85</v>
      </c>
      <c r="D254" s="33" t="inlineStr">
        <is>
          <t>Transferencia recibida</t>
        </is>
      </c>
      <c r="E254" s="32" t="n">
        <v>46106</v>
      </c>
      <c r="F254" s="34" t="n">
        <v>612349.85</v>
      </c>
      <c r="G254" s="33" t="n"/>
      <c r="H254" s="33" t="inlineStr">
        <is>
          <t>MOVFONDOS - 7607</t>
        </is>
      </c>
      <c r="I254" s="34" t="n">
        <v>0</v>
      </c>
      <c r="J254" s="33" t="n">
        <v>0</v>
      </c>
      <c r="K254" s="35" t="inlineStr">
        <is>
          <t>EXACTO</t>
        </is>
      </c>
      <c r="L254" s="33" t="inlineStr">
        <is>
          <t>CONCILIADO</t>
        </is>
      </c>
      <c r="M254" s="33" t="n"/>
    </row>
    <row r="255">
      <c r="A255" s="32" t="n">
        <v>46106</v>
      </c>
      <c r="B255" s="34" t="n">
        <v>5000000</v>
      </c>
      <c r="C255" s="33" t="n"/>
      <c r="D255" s="33" t="inlineStr">
        <is>
          <t>Suscripcion fondos comunes invers</t>
        </is>
      </c>
      <c r="E255" s="32" t="n">
        <v>46106</v>
      </c>
      <c r="F255" s="33" t="n"/>
      <c r="G255" s="34" t="n">
        <v>5000000</v>
      </c>
      <c r="H255" s="33" t="inlineStr">
        <is>
          <t>MOVFONDOS - 7609</t>
        </is>
      </c>
      <c r="I255" s="34" t="n">
        <v>0</v>
      </c>
      <c r="J255" s="33" t="n">
        <v>0</v>
      </c>
      <c r="K255" s="35" t="inlineStr">
        <is>
          <t>EXACTO</t>
        </is>
      </c>
      <c r="L255" s="33" t="inlineStr">
        <is>
          <t>CONCILIADO</t>
        </is>
      </c>
      <c r="M255" s="33" t="n"/>
    </row>
    <row r="256">
      <c r="A256" s="32" t="n">
        <v>46106</v>
      </c>
      <c r="B256" s="33" t="n"/>
      <c r="C256" s="34" t="n">
        <v>774090</v>
      </c>
      <c r="D256" s="33" t="inlineStr">
        <is>
          <t>Transferencia recibida</t>
        </is>
      </c>
      <c r="E256" s="32" t="n">
        <v>46106</v>
      </c>
      <c r="F256" s="34" t="n">
        <v>774090</v>
      </c>
      <c r="G256" s="33" t="n"/>
      <c r="H256" s="33" t="inlineStr">
        <is>
          <t>MOVFONDOS - 7621</t>
        </is>
      </c>
      <c r="I256" s="34" t="n">
        <v>0</v>
      </c>
      <c r="J256" s="33" t="n">
        <v>0</v>
      </c>
      <c r="K256" s="35" t="inlineStr">
        <is>
          <t>EXACTO</t>
        </is>
      </c>
      <c r="L256" s="33" t="inlineStr">
        <is>
          <t>CONCILIADO</t>
        </is>
      </c>
      <c r="M256" s="33" t="n"/>
    </row>
    <row r="257">
      <c r="A257" s="32" t="n">
        <v>46106</v>
      </c>
      <c r="B257" s="33" t="n"/>
      <c r="C257" s="34" t="n">
        <v>552006.21</v>
      </c>
      <c r="D257" s="33" t="inlineStr">
        <is>
          <t>Transferencia recibida</t>
        </is>
      </c>
      <c r="E257" s="32" t="n">
        <v>46106</v>
      </c>
      <c r="F257" s="34" t="n">
        <v>552006.21</v>
      </c>
      <c r="G257" s="33" t="n"/>
      <c r="H257" s="33" t="inlineStr">
        <is>
          <t>MOVFONDOS - 7618</t>
        </is>
      </c>
      <c r="I257" s="34" t="n">
        <v>0</v>
      </c>
      <c r="J257" s="33" t="n">
        <v>0</v>
      </c>
      <c r="K257" s="35" t="inlineStr">
        <is>
          <t>EXACTO</t>
        </is>
      </c>
      <c r="L257" s="33" t="inlineStr">
        <is>
          <t>CONCILIADO</t>
        </is>
      </c>
      <c r="M257" s="33" t="n"/>
    </row>
    <row r="258">
      <c r="A258" s="32" t="n">
        <v>46106</v>
      </c>
      <c r="B258" s="33" t="n"/>
      <c r="C258" s="34" t="n">
        <v>20206.2</v>
      </c>
      <c r="D258" s="33" t="inlineStr">
        <is>
          <t>Pago a proveedores recibido</t>
        </is>
      </c>
      <c r="E258" s="32" t="n">
        <v>46106</v>
      </c>
      <c r="F258" s="34" t="n">
        <v>20206.2</v>
      </c>
      <c r="G258" s="33" t="n"/>
      <c r="H258" s="33" t="inlineStr">
        <is>
          <t>MOVFONDOS - 7619</t>
        </is>
      </c>
      <c r="I258" s="34" t="n">
        <v>0</v>
      </c>
      <c r="J258" s="33" t="n">
        <v>0</v>
      </c>
      <c r="K258" s="35" t="inlineStr">
        <is>
          <t>EXACTO</t>
        </is>
      </c>
      <c r="L258" s="33" t="inlineStr">
        <is>
          <t>CONCILIADO</t>
        </is>
      </c>
      <c r="M258" s="33" t="n"/>
    </row>
    <row r="259">
      <c r="A259" s="32" t="n">
        <v>46106</v>
      </c>
      <c r="B259" s="33" t="n"/>
      <c r="C259" s="34" t="n">
        <v>314127.17</v>
      </c>
      <c r="D259" s="33" t="inlineStr">
        <is>
          <t>Pago a proveedores recibido</t>
        </is>
      </c>
      <c r="E259" s="32" t="n">
        <v>46106</v>
      </c>
      <c r="F259" s="34" t="n">
        <v>314127.17</v>
      </c>
      <c r="G259" s="33" t="n"/>
      <c r="H259" s="33" t="inlineStr">
        <is>
          <t>MOVFONDOS - 7620</t>
        </is>
      </c>
      <c r="I259" s="34" t="n">
        <v>0</v>
      </c>
      <c r="J259" s="33" t="n">
        <v>0</v>
      </c>
      <c r="K259" s="35" t="inlineStr">
        <is>
          <t>EXACTO</t>
        </is>
      </c>
      <c r="L259" s="33" t="inlineStr">
        <is>
          <t>CONCILIADO</t>
        </is>
      </c>
      <c r="M259" s="33" t="n"/>
    </row>
    <row r="260">
      <c r="A260" s="32" t="n">
        <v>46107</v>
      </c>
      <c r="B260" s="33" t="n"/>
      <c r="C260" s="34" t="n">
        <v>765317.27</v>
      </c>
      <c r="D260" s="33" t="inlineStr">
        <is>
          <t>Pago comercios getnet nro.liq.</t>
        </is>
      </c>
      <c r="E260" s="32" t="n">
        <v>46107</v>
      </c>
      <c r="F260" s="34" t="n">
        <v>765317.27</v>
      </c>
      <c r="G260" s="33" t="n"/>
      <c r="H260" s="33" t="inlineStr">
        <is>
          <t>AGGETNET - 398</t>
        </is>
      </c>
      <c r="I260" s="34" t="n">
        <v>0</v>
      </c>
      <c r="J260" s="33" t="n">
        <v>0</v>
      </c>
      <c r="K260" s="35" t="inlineStr">
        <is>
          <t>EXACTO</t>
        </is>
      </c>
      <c r="L260" s="33" t="inlineStr">
        <is>
          <t>CONCILIADO</t>
        </is>
      </c>
      <c r="M260" s="33" t="n"/>
    </row>
    <row r="261">
      <c r="A261" s="32" t="n">
        <v>46107</v>
      </c>
      <c r="B261" s="33" t="n"/>
      <c r="C261" s="34" t="n">
        <v>1656214.2</v>
      </c>
      <c r="D261" s="33" t="inlineStr">
        <is>
          <t>Pago a proveedores recibido</t>
        </is>
      </c>
      <c r="E261" s="32" t="n">
        <v>46107</v>
      </c>
      <c r="F261" s="34" t="n">
        <v>1656214.2</v>
      </c>
      <c r="G261" s="33" t="n"/>
      <c r="H261" s="33" t="inlineStr">
        <is>
          <t>MOVFONDOS - 7617</t>
        </is>
      </c>
      <c r="I261" s="34" t="n">
        <v>0</v>
      </c>
      <c r="J261" s="33" t="n">
        <v>0</v>
      </c>
      <c r="K261" s="35" t="inlineStr">
        <is>
          <t>EXACTO</t>
        </is>
      </c>
      <c r="L261" s="33" t="inlineStr">
        <is>
          <t>CONCILIADO</t>
        </is>
      </c>
      <c r="M261" s="33" t="n"/>
    </row>
    <row r="262">
      <c r="A262" s="32" t="n">
        <v>46107</v>
      </c>
      <c r="B262" s="33" t="n"/>
      <c r="C262" s="34" t="n">
        <v>62431.53</v>
      </c>
      <c r="D262" s="33" t="inlineStr">
        <is>
          <t>Pago comercios getnet nro.liq.</t>
        </is>
      </c>
      <c r="E262" s="32" t="n">
        <v>46107</v>
      </c>
      <c r="F262" s="34" t="n">
        <v>62431.53</v>
      </c>
      <c r="G262" s="33" t="n"/>
      <c r="H262" s="33" t="inlineStr">
        <is>
          <t>AGGETNET - 398</t>
        </is>
      </c>
      <c r="I262" s="34" t="n">
        <v>0</v>
      </c>
      <c r="J262" s="33" t="n">
        <v>0</v>
      </c>
      <c r="K262" s="35" t="inlineStr">
        <is>
          <t>EXACTO</t>
        </is>
      </c>
      <c r="L262" s="33" t="inlineStr">
        <is>
          <t>CONCILIADO</t>
        </is>
      </c>
      <c r="M262" s="33" t="n"/>
    </row>
    <row r="263">
      <c r="A263" s="32" t="n">
        <v>46107</v>
      </c>
      <c r="B263" s="33" t="n"/>
      <c r="C263" s="34" t="n">
        <v>7735380.5</v>
      </c>
      <c r="D263" s="33" t="inlineStr">
        <is>
          <t>Transferencia pagos a terceros</t>
        </is>
      </c>
      <c r="E263" s="32" t="n">
        <v>46107</v>
      </c>
      <c r="F263" s="34" t="n">
        <v>7735380.5</v>
      </c>
      <c r="G263" s="33" t="n"/>
      <c r="H263" s="33" t="inlineStr">
        <is>
          <t>MOVFONDOS - 7629</t>
        </is>
      </c>
      <c r="I263" s="34" t="n">
        <v>0</v>
      </c>
      <c r="J263" s="33" t="n">
        <v>0</v>
      </c>
      <c r="K263" s="35" t="inlineStr">
        <is>
          <t>EXACTO</t>
        </is>
      </c>
      <c r="L263" s="33" t="inlineStr">
        <is>
          <t>CONCILIADO</t>
        </is>
      </c>
      <c r="M263" s="33" t="n"/>
    </row>
    <row r="264">
      <c r="A264" s="32" t="n">
        <v>46107</v>
      </c>
      <c r="B264" s="33" t="n"/>
      <c r="C264" s="34" t="n">
        <v>315841.98</v>
      </c>
      <c r="D264" s="33" t="inlineStr">
        <is>
          <t>Pago a proveedores recibido</t>
        </is>
      </c>
      <c r="E264" s="32" t="n">
        <v>46107</v>
      </c>
      <c r="F264" s="34" t="n">
        <v>315841.98</v>
      </c>
      <c r="G264" s="33" t="n"/>
      <c r="H264" s="33" t="inlineStr">
        <is>
          <t>MOVFONDOS - 7634</t>
        </is>
      </c>
      <c r="I264" s="34" t="n">
        <v>0</v>
      </c>
      <c r="J264" s="33" t="n">
        <v>0</v>
      </c>
      <c r="K264" s="35" t="inlineStr">
        <is>
          <t>EXACTO</t>
        </is>
      </c>
      <c r="L264" s="33" t="inlineStr">
        <is>
          <t>CONCILIADO</t>
        </is>
      </c>
      <c r="M264" s="33" t="n"/>
    </row>
    <row r="265">
      <c r="A265" s="32" t="n">
        <v>46107</v>
      </c>
      <c r="B265" s="34" t="n">
        <v>11000000</v>
      </c>
      <c r="C265" s="33" t="n"/>
      <c r="D265" s="33" t="inlineStr">
        <is>
          <t>Suscripcion fondos comunes invers</t>
        </is>
      </c>
      <c r="E265" s="32" t="n">
        <v>46107</v>
      </c>
      <c r="F265" s="33" t="n"/>
      <c r="G265" s="34" t="n">
        <v>11000000</v>
      </c>
      <c r="H265" s="33" t="inlineStr">
        <is>
          <t>MOVFONDOS - 7633</t>
        </is>
      </c>
      <c r="I265" s="34" t="n">
        <v>0</v>
      </c>
      <c r="J265" s="33" t="n">
        <v>0</v>
      </c>
      <c r="K265" s="35" t="inlineStr">
        <is>
          <t>EXACTO</t>
        </is>
      </c>
      <c r="L265" s="33" t="inlineStr">
        <is>
          <t>CONCILIADO</t>
        </is>
      </c>
      <c r="M265" s="33" t="n"/>
    </row>
    <row r="266">
      <c r="A266" s="32" t="n">
        <v>46107</v>
      </c>
      <c r="B266" s="33" t="n"/>
      <c r="C266" s="34" t="n">
        <v>183836.8</v>
      </c>
      <c r="D266" s="33" t="inlineStr">
        <is>
          <t>Transferencia recibida</t>
        </is>
      </c>
      <c r="E266" s="32" t="n">
        <v>46107</v>
      </c>
      <c r="F266" s="34" t="n">
        <v>183836.8</v>
      </c>
      <c r="G266" s="33" t="n"/>
      <c r="H266" s="33" t="inlineStr">
        <is>
          <t>MOVFONDOS - 7637</t>
        </is>
      </c>
      <c r="I266" s="34" t="n">
        <v>0</v>
      </c>
      <c r="J266" s="33" t="n">
        <v>0</v>
      </c>
      <c r="K266" s="35" t="inlineStr">
        <is>
          <t>EXACTO</t>
        </is>
      </c>
      <c r="L266" s="33" t="inlineStr">
        <is>
          <t>CONCILIADO</t>
        </is>
      </c>
      <c r="M266" s="33" t="n"/>
    </row>
    <row r="267">
      <c r="A267" s="32" t="n">
        <v>46107</v>
      </c>
      <c r="B267" s="33" t="n"/>
      <c r="C267" s="34" t="n">
        <v>1067992.79</v>
      </c>
      <c r="D267" s="33" t="inlineStr">
        <is>
          <t>Pago a proveedores recibido</t>
        </is>
      </c>
      <c r="E267" s="32" t="n">
        <v>46107</v>
      </c>
      <c r="F267" s="34" t="n">
        <v>1067992.79</v>
      </c>
      <c r="G267" s="33" t="n"/>
      <c r="H267" s="33" t="inlineStr">
        <is>
          <t>MOVFONDOS - 7636</t>
        </is>
      </c>
      <c r="I267" s="34" t="n">
        <v>0</v>
      </c>
      <c r="J267" s="33" t="n">
        <v>0</v>
      </c>
      <c r="K267" s="35" t="inlineStr">
        <is>
          <t>EXACTO</t>
        </is>
      </c>
      <c r="L267" s="33" t="inlineStr">
        <is>
          <t>CONCILIADO</t>
        </is>
      </c>
      <c r="M267" s="33" t="n"/>
    </row>
    <row r="268">
      <c r="A268" s="32" t="n">
        <v>46107</v>
      </c>
      <c r="B268" s="33" t="n"/>
      <c r="C268" s="34" t="n">
        <v>3000000</v>
      </c>
      <c r="D268" s="33" t="inlineStr">
        <is>
          <t>Transf recibida cvu mismo titular</t>
        </is>
      </c>
      <c r="E268" s="32" t="n">
        <v>46107</v>
      </c>
      <c r="F268" s="34" t="n">
        <v>3000000</v>
      </c>
      <c r="G268" s="33" t="n"/>
      <c r="H268" s="33" t="inlineStr">
        <is>
          <t>MOVFONDOS - 7639</t>
        </is>
      </c>
      <c r="I268" s="34" t="n">
        <v>0</v>
      </c>
      <c r="J268" s="33" t="n">
        <v>0</v>
      </c>
      <c r="K268" s="35" t="inlineStr">
        <is>
          <t>EXACTO</t>
        </is>
      </c>
      <c r="L268" s="33" t="inlineStr">
        <is>
          <t>CONCILIADO</t>
        </is>
      </c>
      <c r="M268" s="33" t="n"/>
    </row>
    <row r="269">
      <c r="A269" s="32" t="n">
        <v>46107</v>
      </c>
      <c r="B269" s="34" t="n">
        <v>5000000</v>
      </c>
      <c r="C269" s="33" t="n"/>
      <c r="D269" s="33" t="inlineStr">
        <is>
          <t>Suscripcion fondos comunes invers</t>
        </is>
      </c>
      <c r="E269" s="32" t="n">
        <v>46107</v>
      </c>
      <c r="F269" s="33" t="n"/>
      <c r="G269" s="34" t="n">
        <v>5000000</v>
      </c>
      <c r="H269" s="33" t="inlineStr">
        <is>
          <t>MOVFONDOS - 7640</t>
        </is>
      </c>
      <c r="I269" s="34" t="n">
        <v>0</v>
      </c>
      <c r="J269" s="33" t="n">
        <v>0</v>
      </c>
      <c r="K269" s="35" t="inlineStr">
        <is>
          <t>EXACTO</t>
        </is>
      </c>
      <c r="L269" s="33" t="inlineStr">
        <is>
          <t>CONCILIADO</t>
        </is>
      </c>
      <c r="M269" s="33" t="n"/>
    </row>
    <row r="270">
      <c r="A270" s="32" t="n">
        <v>46107</v>
      </c>
      <c r="B270" s="33" t="n"/>
      <c r="C270" s="34" t="n">
        <v>116041.9</v>
      </c>
      <c r="D270" s="33" t="inlineStr">
        <is>
          <t>Transf recibida cvu dif titular</t>
        </is>
      </c>
      <c r="E270" s="32" t="n">
        <v>46107</v>
      </c>
      <c r="F270" s="34" t="n">
        <v>116041.9</v>
      </c>
      <c r="G270" s="33" t="n"/>
      <c r="H270" s="33" t="inlineStr">
        <is>
          <t>MOVFONDOS - 7642</t>
        </is>
      </c>
      <c r="I270" s="34" t="n">
        <v>0</v>
      </c>
      <c r="J270" s="33" t="n">
        <v>0</v>
      </c>
      <c r="K270" s="35" t="inlineStr">
        <is>
          <t>EXACTO</t>
        </is>
      </c>
      <c r="L270" s="33" t="inlineStr">
        <is>
          <t>CONCILIADO</t>
        </is>
      </c>
      <c r="M270" s="33" t="n"/>
    </row>
    <row r="271">
      <c r="A271" s="32" t="n">
        <v>46108</v>
      </c>
      <c r="B271" s="33" t="n"/>
      <c r="C271" s="34" t="n">
        <v>1122853.35</v>
      </c>
      <c r="D271" s="33" t="inlineStr">
        <is>
          <t>Pago a proveedores</t>
        </is>
      </c>
      <c r="E271" s="32" t="n">
        <v>46108</v>
      </c>
      <c r="F271" s="34" t="n">
        <v>1122853.35</v>
      </c>
      <c r="G271" s="33" t="n"/>
      <c r="H271" s="33" t="inlineStr">
        <is>
          <t>MOVFONDOS - 7643</t>
        </is>
      </c>
      <c r="I271" s="34" t="n">
        <v>0</v>
      </c>
      <c r="J271" s="33" t="n">
        <v>0</v>
      </c>
      <c r="K271" s="35" t="inlineStr">
        <is>
          <t>EXACTO</t>
        </is>
      </c>
      <c r="L271" s="33" t="inlineStr">
        <is>
          <t>CONCILIADO</t>
        </is>
      </c>
      <c r="M271" s="33" t="n"/>
    </row>
    <row r="272">
      <c r="A272" s="32" t="n">
        <v>46108</v>
      </c>
      <c r="B272" s="33" t="n"/>
      <c r="C272" s="34" t="n">
        <v>1250435.77</v>
      </c>
      <c r="D272" s="33" t="inlineStr">
        <is>
          <t>Pago comercios getnet nro.liq.</t>
        </is>
      </c>
      <c r="E272" s="32" t="n">
        <v>46108</v>
      </c>
      <c r="F272" s="34" t="n">
        <v>1250435.77</v>
      </c>
      <c r="G272" s="33" t="n"/>
      <c r="H272" s="33" t="inlineStr">
        <is>
          <t>AGGETNET - 399</t>
        </is>
      </c>
      <c r="I272" s="34" t="n">
        <v>0</v>
      </c>
      <c r="J272" s="33" t="n">
        <v>0</v>
      </c>
      <c r="K272" s="35" t="inlineStr">
        <is>
          <t>EXACTO</t>
        </is>
      </c>
      <c r="L272" s="33" t="inlineStr">
        <is>
          <t>CONCILIADO</t>
        </is>
      </c>
      <c r="M272" s="33" t="n"/>
    </row>
    <row r="273">
      <c r="A273" s="32" t="n">
        <v>46108</v>
      </c>
      <c r="B273" s="33" t="n"/>
      <c r="C273" s="34" t="n">
        <v>173503.88</v>
      </c>
      <c r="D273" s="33" t="inlineStr">
        <is>
          <t>Transferencia recibida</t>
        </is>
      </c>
      <c r="E273" s="32" t="n">
        <v>46108</v>
      </c>
      <c r="F273" s="34" t="n">
        <v>173503.88</v>
      </c>
      <c r="G273" s="33" t="n"/>
      <c r="H273" s="33" t="inlineStr">
        <is>
          <t>MOVFONDOS - 7646</t>
        </is>
      </c>
      <c r="I273" s="34" t="n">
        <v>0</v>
      </c>
      <c r="J273" s="33" t="n">
        <v>0</v>
      </c>
      <c r="K273" s="35" t="inlineStr">
        <is>
          <t>EXACTO</t>
        </is>
      </c>
      <c r="L273" s="33" t="inlineStr">
        <is>
          <t>CONCILIADO</t>
        </is>
      </c>
      <c r="M273" s="33" t="n"/>
    </row>
    <row r="274">
      <c r="A274" s="32" t="n">
        <v>46108</v>
      </c>
      <c r="B274" s="33" t="n"/>
      <c r="C274" s="34" t="n">
        <v>596451.92</v>
      </c>
      <c r="D274" s="33" t="inlineStr">
        <is>
          <t>Transferencia recibida</t>
        </is>
      </c>
      <c r="E274" s="32" t="n">
        <v>46108</v>
      </c>
      <c r="F274" s="34" t="n">
        <v>596451.92</v>
      </c>
      <c r="G274" s="33" t="n"/>
      <c r="H274" s="33" t="inlineStr">
        <is>
          <t>MOVFONDOS - 7652</t>
        </is>
      </c>
      <c r="I274" s="34" t="n">
        <v>0</v>
      </c>
      <c r="J274" s="33" t="n">
        <v>0</v>
      </c>
      <c r="K274" s="35" t="inlineStr">
        <is>
          <t>EXACTO</t>
        </is>
      </c>
      <c r="L274" s="33" t="inlineStr">
        <is>
          <t>CONCILIADO</t>
        </is>
      </c>
      <c r="M274" s="33" t="n"/>
    </row>
    <row r="275">
      <c r="A275" s="32" t="n">
        <v>46108</v>
      </c>
      <c r="B275" s="33" t="n"/>
      <c r="C275" s="34" t="n">
        <v>266713.87</v>
      </c>
      <c r="D275" s="33" t="inlineStr">
        <is>
          <t>Pago a proveedores recibido</t>
        </is>
      </c>
      <c r="E275" s="32" t="n">
        <v>46108</v>
      </c>
      <c r="F275" s="34" t="n">
        <v>266713.87</v>
      </c>
      <c r="G275" s="33" t="n"/>
      <c r="H275" s="33" t="inlineStr">
        <is>
          <t>MOVFONDOS - 7653</t>
        </is>
      </c>
      <c r="I275" s="34" t="n">
        <v>0</v>
      </c>
      <c r="J275" s="33" t="n">
        <v>0</v>
      </c>
      <c r="K275" s="35" t="inlineStr">
        <is>
          <t>EXACTO</t>
        </is>
      </c>
      <c r="L275" s="33" t="inlineStr">
        <is>
          <t>CONCILIADO</t>
        </is>
      </c>
      <c r="M275" s="33" t="n"/>
    </row>
    <row r="276">
      <c r="A276" s="32" t="n">
        <v>46108</v>
      </c>
      <c r="B276" s="33" t="n"/>
      <c r="C276" s="34" t="n">
        <v>107044.75</v>
      </c>
      <c r="D276" s="33" t="inlineStr">
        <is>
          <t>Pago a proveedores recibido</t>
        </is>
      </c>
      <c r="E276" s="32" t="n">
        <v>46108</v>
      </c>
      <c r="F276" s="34" t="n">
        <v>107044.75</v>
      </c>
      <c r="G276" s="33" t="n"/>
      <c r="H276" s="33" t="inlineStr">
        <is>
          <t>MOVFONDOS - 7661</t>
        </is>
      </c>
      <c r="I276" s="34" t="n">
        <v>0</v>
      </c>
      <c r="J276" s="33" t="n">
        <v>0</v>
      </c>
      <c r="K276" s="35" t="inlineStr">
        <is>
          <t>EXACTO</t>
        </is>
      </c>
      <c r="L276" s="33" t="inlineStr">
        <is>
          <t>CONCILIADO</t>
        </is>
      </c>
      <c r="M276" s="33" t="n"/>
    </row>
    <row r="277">
      <c r="A277" s="32" t="n">
        <v>46108</v>
      </c>
      <c r="B277" s="33" t="n"/>
      <c r="C277" s="34" t="n">
        <v>290294.55</v>
      </c>
      <c r="D277" s="33" t="inlineStr">
        <is>
          <t>Transferencia recibida</t>
        </is>
      </c>
      <c r="E277" s="32" t="n">
        <v>46108</v>
      </c>
      <c r="F277" s="34" t="n">
        <v>290294.55</v>
      </c>
      <c r="G277" s="33" t="n"/>
      <c r="H277" s="33" t="inlineStr">
        <is>
          <t>MOVFONDOS - 7660</t>
        </is>
      </c>
      <c r="I277" s="34" t="n">
        <v>0</v>
      </c>
      <c r="J277" s="33" t="n">
        <v>0</v>
      </c>
      <c r="K277" s="35" t="inlineStr">
        <is>
          <t>EXACTO</t>
        </is>
      </c>
      <c r="L277" s="33" t="inlineStr">
        <is>
          <t>CONCILIADO</t>
        </is>
      </c>
      <c r="M277" s="33" t="n"/>
    </row>
    <row r="278">
      <c r="A278" s="32" t="n">
        <v>46108</v>
      </c>
      <c r="B278" s="33" t="n"/>
      <c r="C278" s="34" t="n">
        <v>70792.7</v>
      </c>
      <c r="D278" s="33" t="inlineStr">
        <is>
          <t>Transferencia recibida</t>
        </is>
      </c>
      <c r="E278" s="32" t="n">
        <v>46108</v>
      </c>
      <c r="F278" s="34" t="n">
        <v>70792.7</v>
      </c>
      <c r="G278" s="33" t="n"/>
      <c r="H278" s="33" t="inlineStr">
        <is>
          <t>MOVFONDOS - 7659</t>
        </is>
      </c>
      <c r="I278" s="34" t="n">
        <v>0</v>
      </c>
      <c r="J278" s="33" t="n">
        <v>0</v>
      </c>
      <c r="K278" s="35" t="inlineStr">
        <is>
          <t>EXACTO</t>
        </is>
      </c>
      <c r="L278" s="33" t="inlineStr">
        <is>
          <t>CONCILIADO</t>
        </is>
      </c>
      <c r="M278" s="33" t="n"/>
    </row>
    <row r="279">
      <c r="A279" s="32" t="n">
        <v>46108</v>
      </c>
      <c r="B279" s="33" t="n"/>
      <c r="C279" s="34" t="n">
        <v>72514.7</v>
      </c>
      <c r="D279" s="33" t="inlineStr">
        <is>
          <t>Transferencia recibida</t>
        </is>
      </c>
      <c r="E279" s="32" t="n">
        <v>46108</v>
      </c>
      <c r="F279" s="34" t="n">
        <v>72514.7</v>
      </c>
      <c r="G279" s="33" t="n"/>
      <c r="H279" s="33" t="inlineStr">
        <is>
          <t>MOVFONDOS - 7658</t>
        </is>
      </c>
      <c r="I279" s="34" t="n">
        <v>0</v>
      </c>
      <c r="J279" s="33" t="n">
        <v>0</v>
      </c>
      <c r="K279" s="35" t="inlineStr">
        <is>
          <t>EXACTO</t>
        </is>
      </c>
      <c r="L279" s="33" t="inlineStr">
        <is>
          <t>CONCILIADO</t>
        </is>
      </c>
      <c r="M279" s="33" t="n"/>
    </row>
    <row r="280">
      <c r="A280" s="32" t="n">
        <v>46108</v>
      </c>
      <c r="B280" s="33" t="n"/>
      <c r="C280" s="34" t="n">
        <v>106948.5</v>
      </c>
      <c r="D280" s="33" t="inlineStr">
        <is>
          <t>Transf minorista recibida snp</t>
        </is>
      </c>
      <c r="E280" s="32" t="n">
        <v>46108</v>
      </c>
      <c r="F280" s="34" t="n">
        <v>106948.5</v>
      </c>
      <c r="G280" s="33" t="n"/>
      <c r="H280" s="33" t="inlineStr">
        <is>
          <t>MOVFONDOS - 7657</t>
        </is>
      </c>
      <c r="I280" s="34" t="n">
        <v>0</v>
      </c>
      <c r="J280" s="33" t="n">
        <v>0</v>
      </c>
      <c r="K280" s="35" t="inlineStr">
        <is>
          <t>EXACTO</t>
        </is>
      </c>
      <c r="L280" s="33" t="inlineStr">
        <is>
          <t>CONCILIADO</t>
        </is>
      </c>
      <c r="M280" s="33" t="n"/>
    </row>
    <row r="281">
      <c r="A281" s="32" t="n">
        <v>46111</v>
      </c>
      <c r="B281" s="33" t="n"/>
      <c r="C281" s="34" t="n">
        <v>51963.28</v>
      </c>
      <c r="D281" s="33" t="inlineStr">
        <is>
          <t>Pago comercios getnet nro.liq.</t>
        </is>
      </c>
      <c r="E281" s="32" t="n">
        <v>46111</v>
      </c>
      <c r="F281" s="34" t="n">
        <v>51963.28</v>
      </c>
      <c r="G281" s="33" t="n"/>
      <c r="H281" s="33" t="inlineStr">
        <is>
          <t>AGGETNET - 400</t>
        </is>
      </c>
      <c r="I281" s="34" t="n">
        <v>0</v>
      </c>
      <c r="J281" s="33" t="n">
        <v>0</v>
      </c>
      <c r="K281" s="35" t="inlineStr">
        <is>
          <t>EXACTO</t>
        </is>
      </c>
      <c r="L281" s="33" t="inlineStr">
        <is>
          <t>CONCILIADO</t>
        </is>
      </c>
      <c r="M281" s="33" t="n"/>
    </row>
    <row r="282">
      <c r="A282" s="32" t="n">
        <v>46111</v>
      </c>
      <c r="B282" s="33" t="n"/>
      <c r="C282" s="34" t="n">
        <v>101094</v>
      </c>
      <c r="D282" s="33" t="inlineStr">
        <is>
          <t>Pago a proveedores recibido</t>
        </is>
      </c>
      <c r="E282" s="32" t="n">
        <v>46111</v>
      </c>
      <c r="F282" s="34" t="n">
        <v>101094</v>
      </c>
      <c r="G282" s="33" t="n"/>
      <c r="H282" s="33" t="inlineStr">
        <is>
          <t>MOVFONDOS - 7662</t>
        </is>
      </c>
      <c r="I282" s="34" t="n">
        <v>0</v>
      </c>
      <c r="J282" s="33" t="n">
        <v>0</v>
      </c>
      <c r="K282" s="35" t="inlineStr">
        <is>
          <t>EXACTO</t>
        </is>
      </c>
      <c r="L282" s="33" t="inlineStr">
        <is>
          <t>CONCILIADO</t>
        </is>
      </c>
      <c r="M282" s="33" t="n"/>
    </row>
    <row r="283">
      <c r="A283" s="32" t="n">
        <v>46111</v>
      </c>
      <c r="B283" s="33" t="n"/>
      <c r="C283" s="34" t="n">
        <v>1176895.48</v>
      </c>
      <c r="D283" s="33" t="inlineStr">
        <is>
          <t>Pago comercios getnet nro.liq.</t>
        </is>
      </c>
      <c r="E283" s="32" t="n">
        <v>46111</v>
      </c>
      <c r="F283" s="34" t="n">
        <v>1176895.48</v>
      </c>
      <c r="G283" s="33" t="n"/>
      <c r="H283" s="33" t="inlineStr">
        <is>
          <t>AGGETNET - 400</t>
        </is>
      </c>
      <c r="I283" s="34" t="n">
        <v>0</v>
      </c>
      <c r="J283" s="33" t="n">
        <v>0</v>
      </c>
      <c r="K283" s="35" t="inlineStr">
        <is>
          <t>EXACTO</t>
        </is>
      </c>
      <c r="L283" s="33" t="inlineStr">
        <is>
          <t>CONCILIADO</t>
        </is>
      </c>
      <c r="M283" s="33" t="n"/>
    </row>
    <row r="284">
      <c r="A284" s="32" t="n">
        <v>46111</v>
      </c>
      <c r="B284" s="33" t="n"/>
      <c r="C284" s="34" t="n">
        <v>128041.62</v>
      </c>
      <c r="D284" s="33" t="inlineStr">
        <is>
          <t>Pago a proveedores recibido</t>
        </is>
      </c>
      <c r="E284" s="32" t="n">
        <v>46111</v>
      </c>
      <c r="F284" s="34" t="n">
        <v>128041.62</v>
      </c>
      <c r="G284" s="33" t="n"/>
      <c r="H284" s="33" t="inlineStr">
        <is>
          <t>MOVFONDOS - 7670</t>
        </is>
      </c>
      <c r="I284" s="34" t="n">
        <v>0</v>
      </c>
      <c r="J284" s="33" t="n">
        <v>0</v>
      </c>
      <c r="K284" s="35" t="inlineStr">
        <is>
          <t>EXACTO</t>
        </is>
      </c>
      <c r="L284" s="33" t="inlineStr">
        <is>
          <t>CONCILIADO</t>
        </is>
      </c>
      <c r="M284" s="33" t="n"/>
    </row>
    <row r="285">
      <c r="A285" s="32" t="n">
        <v>46111</v>
      </c>
      <c r="B285" s="33" t="n"/>
      <c r="C285" s="34" t="n">
        <v>855779.96</v>
      </c>
      <c r="D285" s="33" t="inlineStr">
        <is>
          <t>Transferencia recibida</t>
        </is>
      </c>
      <c r="E285" s="32" t="n">
        <v>46111</v>
      </c>
      <c r="F285" s="34" t="n">
        <v>855779.96</v>
      </c>
      <c r="G285" s="33" t="n"/>
      <c r="H285" s="33" t="inlineStr">
        <is>
          <t>MOVFONDOS - 7671</t>
        </is>
      </c>
      <c r="I285" s="34" t="n">
        <v>0</v>
      </c>
      <c r="J285" s="33" t="n">
        <v>0</v>
      </c>
      <c r="K285" s="35" t="inlineStr">
        <is>
          <t>EXACTO</t>
        </is>
      </c>
      <c r="L285" s="33" t="inlineStr">
        <is>
          <t>CONCILIADO</t>
        </is>
      </c>
      <c r="M285" s="33" t="n"/>
    </row>
    <row r="286">
      <c r="A286" s="32" t="n">
        <v>46111</v>
      </c>
      <c r="B286" s="33" t="n"/>
      <c r="C286" s="34" t="n">
        <v>308187</v>
      </c>
      <c r="D286" s="33" t="inlineStr">
        <is>
          <t>Transf recibida cvu dif titular</t>
        </is>
      </c>
      <c r="E286" s="32" t="n">
        <v>46111</v>
      </c>
      <c r="F286" s="34" t="n">
        <v>308187</v>
      </c>
      <c r="G286" s="33" t="n"/>
      <c r="H286" s="33" t="inlineStr">
        <is>
          <t>MOVFONDOS - 7669</t>
        </is>
      </c>
      <c r="I286" s="34" t="n">
        <v>0</v>
      </c>
      <c r="J286" s="33" t="n">
        <v>0</v>
      </c>
      <c r="K286" s="35" t="inlineStr">
        <is>
          <t>EXACTO</t>
        </is>
      </c>
      <c r="L286" s="33" t="inlineStr">
        <is>
          <t>CONCILIADO</t>
        </is>
      </c>
      <c r="M286" s="33" t="n"/>
    </row>
    <row r="287">
      <c r="A287" s="32" t="n">
        <v>46111</v>
      </c>
      <c r="B287" s="33" t="n"/>
      <c r="C287" s="34" t="n">
        <v>1500000</v>
      </c>
      <c r="D287" s="33" t="inlineStr">
        <is>
          <t>Transf recibida cvu mismo titular</t>
        </is>
      </c>
      <c r="E287" s="32" t="n">
        <v>46111</v>
      </c>
      <c r="F287" s="34" t="n">
        <v>1500000</v>
      </c>
      <c r="G287" s="33" t="n"/>
      <c r="H287" s="33" t="inlineStr">
        <is>
          <t>MOVFONDOS - 7667</t>
        </is>
      </c>
      <c r="I287" s="34" t="n">
        <v>0</v>
      </c>
      <c r="J287" s="33" t="n">
        <v>0</v>
      </c>
      <c r="K287" s="35" t="inlineStr">
        <is>
          <t>EXACTO</t>
        </is>
      </c>
      <c r="L287" s="33" t="inlineStr">
        <is>
          <t>CONCILIADO</t>
        </is>
      </c>
      <c r="M287" s="33" t="n"/>
    </row>
    <row r="288">
      <c r="A288" s="32" t="n">
        <v>46111</v>
      </c>
      <c r="B288" s="33" t="n"/>
      <c r="C288" s="34" t="n">
        <v>3000000</v>
      </c>
      <c r="D288" s="33" t="inlineStr">
        <is>
          <t>Transferencia recibida</t>
        </is>
      </c>
      <c r="E288" s="32" t="n">
        <v>46111</v>
      </c>
      <c r="F288" s="34" t="n">
        <v>3000000</v>
      </c>
      <c r="G288" s="33" t="n"/>
      <c r="H288" s="33" t="inlineStr">
        <is>
          <t>MOVFONDOS - 7668</t>
        </is>
      </c>
      <c r="I288" s="34" t="n">
        <v>0</v>
      </c>
      <c r="J288" s="33" t="n">
        <v>0</v>
      </c>
      <c r="K288" s="35" t="inlineStr">
        <is>
          <t>EXACTO</t>
        </is>
      </c>
      <c r="L288" s="33" t="inlineStr">
        <is>
          <t>CONCILIADO</t>
        </is>
      </c>
      <c r="M288" s="33" t="n"/>
    </row>
    <row r="289">
      <c r="A289" s="32" t="n">
        <v>46111</v>
      </c>
      <c r="B289" s="34" t="n">
        <v>3000000</v>
      </c>
      <c r="C289" s="33" t="n"/>
      <c r="D289" s="33" t="inlineStr">
        <is>
          <t>Pago cci 24hs no gravada interbank</t>
        </is>
      </c>
      <c r="E289" s="32" t="n">
        <v>46111</v>
      </c>
      <c r="F289" s="33" t="n"/>
      <c r="G289" s="34" t="n">
        <v>3000000</v>
      </c>
      <c r="H289" s="33" t="inlineStr">
        <is>
          <t>MOVFONDOS - 7675</t>
        </is>
      </c>
      <c r="I289" s="34" t="n">
        <v>0</v>
      </c>
      <c r="J289" s="33" t="n">
        <v>0</v>
      </c>
      <c r="K289" s="35" t="inlineStr">
        <is>
          <t>EXACTO</t>
        </is>
      </c>
      <c r="L289" s="33" t="inlineStr">
        <is>
          <t>CONCILIADO</t>
        </is>
      </c>
      <c r="M289" s="33" t="n"/>
    </row>
    <row r="290">
      <c r="A290" s="32" t="n">
        <v>46111</v>
      </c>
      <c r="B290" s="34" t="n">
        <v>211750</v>
      </c>
      <c r="C290" s="33" t="n"/>
      <c r="D290" s="33" t="inlineStr">
        <is>
          <t>Transferencia realizada</t>
        </is>
      </c>
      <c r="E290" s="32" t="n">
        <v>46111</v>
      </c>
      <c r="F290" s="33" t="n"/>
      <c r="G290" s="34" t="n">
        <v>211750</v>
      </c>
      <c r="H290" s="33" t="inlineStr">
        <is>
          <t>PAGO - 3110</t>
        </is>
      </c>
      <c r="I290" s="34" t="n">
        <v>0</v>
      </c>
      <c r="J290" s="33" t="n">
        <v>0</v>
      </c>
      <c r="K290" s="35" t="inlineStr">
        <is>
          <t>EXACTO</t>
        </is>
      </c>
      <c r="L290" s="33" t="inlineStr">
        <is>
          <t>CONCILIADO</t>
        </is>
      </c>
      <c r="M290" s="33" t="n"/>
    </row>
    <row r="291">
      <c r="A291" s="32" t="n">
        <v>46111</v>
      </c>
      <c r="B291" s="34" t="n">
        <v>10615330</v>
      </c>
      <c r="C291" s="33" t="n"/>
      <c r="D291" s="33" t="inlineStr">
        <is>
          <t>Transferencia realizada</t>
        </is>
      </c>
      <c r="E291" s="32" t="n">
        <v>46111</v>
      </c>
      <c r="F291" s="33" t="n"/>
      <c r="G291" s="34" t="n">
        <v>10615330</v>
      </c>
      <c r="H291" s="33" t="inlineStr">
        <is>
          <t>PAGO - 3109</t>
        </is>
      </c>
      <c r="I291" s="34" t="n">
        <v>0</v>
      </c>
      <c r="J291" s="33" t="n">
        <v>0</v>
      </c>
      <c r="K291" s="35" t="inlineStr">
        <is>
          <t>EXACTO</t>
        </is>
      </c>
      <c r="L291" s="33" t="inlineStr">
        <is>
          <t>CONCILIADO</t>
        </is>
      </c>
      <c r="M291" s="33" t="n"/>
    </row>
    <row r="292">
      <c r="A292" s="32" t="n">
        <v>46111</v>
      </c>
      <c r="B292" s="33" t="n"/>
      <c r="C292" s="34" t="n">
        <v>470220.6</v>
      </c>
      <c r="D292" s="33" t="inlineStr">
        <is>
          <t>Credito transf online banking emp</t>
        </is>
      </c>
      <c r="E292" s="32" t="n">
        <v>46111</v>
      </c>
      <c r="F292" s="34" t="n">
        <v>470220.6</v>
      </c>
      <c r="G292" s="33" t="n"/>
      <c r="H292" s="33" t="inlineStr">
        <is>
          <t>MOVFONDOS - 7676</t>
        </is>
      </c>
      <c r="I292" s="34" t="n">
        <v>0</v>
      </c>
      <c r="J292" s="33" t="n">
        <v>0</v>
      </c>
      <c r="K292" s="35" t="inlineStr">
        <is>
          <t>EXACTO</t>
        </is>
      </c>
      <c r="L292" s="33" t="inlineStr">
        <is>
          <t>CONCILIADO</t>
        </is>
      </c>
      <c r="M292" s="33" t="n"/>
    </row>
    <row r="293">
      <c r="A293" s="32" t="n">
        <v>46111</v>
      </c>
      <c r="B293" s="33" t="n"/>
      <c r="C293" s="34" t="n">
        <v>182655.55</v>
      </c>
      <c r="D293" s="33" t="inlineStr">
        <is>
          <t>Pago a proveedores recibido</t>
        </is>
      </c>
      <c r="E293" s="32" t="n">
        <v>46111</v>
      </c>
      <c r="F293" s="34" t="n">
        <v>182655.55</v>
      </c>
      <c r="G293" s="33" t="n"/>
      <c r="H293" s="33" t="inlineStr">
        <is>
          <t>MOVFONDOS - 7677</t>
        </is>
      </c>
      <c r="I293" s="34" t="n">
        <v>0</v>
      </c>
      <c r="J293" s="33" t="n">
        <v>0</v>
      </c>
      <c r="K293" s="35" t="inlineStr">
        <is>
          <t>EXACTO</t>
        </is>
      </c>
      <c r="L293" s="33" t="inlineStr">
        <is>
          <t>CONCILIADO</t>
        </is>
      </c>
      <c r="M293" s="33" t="n"/>
    </row>
    <row r="294">
      <c r="A294" s="32" t="n">
        <v>46111</v>
      </c>
      <c r="B294" s="34" t="n">
        <v>9000000</v>
      </c>
      <c r="C294" s="33" t="n"/>
      <c r="D294" s="33" t="inlineStr">
        <is>
          <t>Suscripcion fondos comunes invers</t>
        </is>
      </c>
      <c r="E294" s="32" t="n">
        <v>46111</v>
      </c>
      <c r="F294" s="33" t="n"/>
      <c r="G294" s="34" t="n">
        <v>9000000</v>
      </c>
      <c r="H294" s="33" t="inlineStr">
        <is>
          <t>MOVFONDOS - 7682</t>
        </is>
      </c>
      <c r="I294" s="34" t="n">
        <v>0</v>
      </c>
      <c r="J294" s="33" t="n">
        <v>0</v>
      </c>
      <c r="K294" s="35" t="inlineStr">
        <is>
          <t>EXACTO</t>
        </is>
      </c>
      <c r="L294" s="33" t="inlineStr">
        <is>
          <t>CONCILIADO</t>
        </is>
      </c>
      <c r="M294" s="33" t="n"/>
    </row>
    <row r="295">
      <c r="A295" s="32" t="n">
        <v>46112</v>
      </c>
      <c r="B295" s="33" t="n"/>
      <c r="C295" s="34" t="n">
        <v>257875.59</v>
      </c>
      <c r="D295" s="33" t="inlineStr">
        <is>
          <t>Pago comercios getnet nro.liq.</t>
        </is>
      </c>
      <c r="E295" s="32" t="n">
        <v>46112</v>
      </c>
      <c r="F295" s="34" t="n">
        <v>257875.59</v>
      </c>
      <c r="G295" s="33" t="n"/>
      <c r="H295" s="33" t="inlineStr">
        <is>
          <t>AGGETNET - 401</t>
        </is>
      </c>
      <c r="I295" s="34" t="n">
        <v>0</v>
      </c>
      <c r="J295" s="33" t="n">
        <v>0</v>
      </c>
      <c r="K295" s="35" t="inlineStr">
        <is>
          <t>EXACTO</t>
        </is>
      </c>
      <c r="L295" s="33" t="inlineStr">
        <is>
          <t>CONCILIADO</t>
        </is>
      </c>
      <c r="M295" s="33" t="n"/>
    </row>
    <row r="296">
      <c r="A296" s="32" t="n">
        <v>46112</v>
      </c>
      <c r="B296" s="33" t="n"/>
      <c r="C296" s="34" t="n">
        <v>89991.03</v>
      </c>
      <c r="D296" s="33" t="inlineStr">
        <is>
          <t>Pago comercios getnet nro.liq.</t>
        </is>
      </c>
      <c r="E296" s="32" t="n">
        <v>46112</v>
      </c>
      <c r="F296" s="34" t="n">
        <v>89991.03</v>
      </c>
      <c r="G296" s="33" t="n"/>
      <c r="H296" s="33" t="inlineStr">
        <is>
          <t>AGGETNET - 401</t>
        </is>
      </c>
      <c r="I296" s="34" t="n">
        <v>0</v>
      </c>
      <c r="J296" s="33" t="n">
        <v>0</v>
      </c>
      <c r="K296" s="35" t="inlineStr">
        <is>
          <t>EXACTO</t>
        </is>
      </c>
      <c r="L296" s="33" t="inlineStr">
        <is>
          <t>CONCILIADO</t>
        </is>
      </c>
      <c r="M296" s="33" t="n"/>
    </row>
    <row r="297">
      <c r="A297" s="32" t="n">
        <v>46112</v>
      </c>
      <c r="B297" s="33" t="n"/>
      <c r="C297" s="34" t="n">
        <v>1000000</v>
      </c>
      <c r="D297" s="33" t="inlineStr">
        <is>
          <t>Transf recibida cvu mismo titular</t>
        </is>
      </c>
      <c r="E297" s="32" t="n">
        <v>46112</v>
      </c>
      <c r="F297" s="33" t="n"/>
      <c r="G297" s="34" t="n">
        <v>1000000</v>
      </c>
      <c r="H297" s="33" t="inlineStr">
        <is>
          <t>PAGO - 3111</t>
        </is>
      </c>
      <c r="I297" s="34" t="n">
        <v>0</v>
      </c>
      <c r="J297" s="33" t="n">
        <v>0</v>
      </c>
      <c r="K297" s="35" t="inlineStr">
        <is>
          <t>EXACTO</t>
        </is>
      </c>
      <c r="L297" s="33" t="inlineStr">
        <is>
          <t>CONCILIADO</t>
        </is>
      </c>
      <c r="M297" s="33" t="n"/>
    </row>
    <row r="298">
      <c r="A298" s="32" t="n">
        <v>46112</v>
      </c>
      <c r="B298" s="33" t="n"/>
      <c r="C298" s="34" t="n">
        <v>1691644.5</v>
      </c>
      <c r="D298" s="33" t="inlineStr">
        <is>
          <t>Pago a proveedores recibido</t>
        </is>
      </c>
      <c r="E298" s="32" t="n">
        <v>46112</v>
      </c>
      <c r="F298" s="34" t="n">
        <v>1691644.5</v>
      </c>
      <c r="G298" s="33" t="n"/>
      <c r="H298" s="33" t="inlineStr">
        <is>
          <t>MOVFONDOS - 7683</t>
        </is>
      </c>
      <c r="I298" s="34" t="n">
        <v>0</v>
      </c>
      <c r="J298" s="33" t="n">
        <v>0</v>
      </c>
      <c r="K298" s="35" t="inlineStr">
        <is>
          <t>EXACTO</t>
        </is>
      </c>
      <c r="L298" s="33" t="inlineStr">
        <is>
          <t>CONCILIADO</t>
        </is>
      </c>
      <c r="M298" s="33" t="n"/>
    </row>
    <row r="299">
      <c r="A299" s="32" t="n">
        <v>46112</v>
      </c>
      <c r="B299" s="34" t="n">
        <v>72600</v>
      </c>
      <c r="C299" s="33" t="n"/>
      <c r="D299" s="33" t="inlineStr">
        <is>
          <t>Transferencia realizada</t>
        </is>
      </c>
      <c r="E299" s="32" t="n">
        <v>46112</v>
      </c>
      <c r="F299" s="33" t="n"/>
      <c r="G299" s="34" t="n">
        <v>72600</v>
      </c>
      <c r="H299" s="33" t="inlineStr">
        <is>
          <t>PAGO - 3119</t>
        </is>
      </c>
      <c r="I299" s="34" t="n">
        <v>0</v>
      </c>
      <c r="J299" s="33" t="n">
        <v>0</v>
      </c>
      <c r="K299" s="35" t="inlineStr">
        <is>
          <t>EXACTO</t>
        </is>
      </c>
      <c r="L299" s="33" t="inlineStr">
        <is>
          <t>CONCILIADO</t>
        </is>
      </c>
      <c r="M299" s="33" t="n"/>
    </row>
    <row r="300">
      <c r="A300" s="32" t="n">
        <v>46112</v>
      </c>
      <c r="B300" s="34" t="n">
        <v>324270</v>
      </c>
      <c r="C300" s="33" t="n"/>
      <c r="D300" s="33" t="inlineStr">
        <is>
          <t>Transferencia realizada</t>
        </is>
      </c>
      <c r="E300" s="32" t="n">
        <v>46112</v>
      </c>
      <c r="F300" s="33" t="n"/>
      <c r="G300" s="34" t="n">
        <v>324270</v>
      </c>
      <c r="H300" s="33" t="inlineStr">
        <is>
          <t>PAGO - 3118</t>
        </is>
      </c>
      <c r="I300" s="34" t="n">
        <v>0</v>
      </c>
      <c r="J300" s="33" t="n">
        <v>0</v>
      </c>
      <c r="K300" s="35" t="inlineStr">
        <is>
          <t>EXACTO</t>
        </is>
      </c>
      <c r="L300" s="33" t="inlineStr">
        <is>
          <t>CONCILIADO</t>
        </is>
      </c>
      <c r="M300" s="33" t="n"/>
    </row>
    <row r="301">
      <c r="A301" s="32" t="n">
        <v>46112</v>
      </c>
      <c r="B301" s="34" t="n">
        <v>27818.64</v>
      </c>
      <c r="C301" s="33" t="n"/>
      <c r="D301" s="33" t="inlineStr">
        <is>
          <t>Transferencia realizada</t>
        </is>
      </c>
      <c r="E301" s="32" t="n">
        <v>46112</v>
      </c>
      <c r="F301" s="33" t="n"/>
      <c r="G301" s="34" t="n">
        <v>27818.64</v>
      </c>
      <c r="H301" s="33" t="inlineStr">
        <is>
          <t>PAGO - 3117</t>
        </is>
      </c>
      <c r="I301" s="34" t="n">
        <v>0</v>
      </c>
      <c r="J301" s="33" t="n">
        <v>0</v>
      </c>
      <c r="K301" s="35" t="inlineStr">
        <is>
          <t>EXACTO</t>
        </is>
      </c>
      <c r="L301" s="33" t="inlineStr">
        <is>
          <t>CONCILIADO</t>
        </is>
      </c>
      <c r="M301" s="33" t="n"/>
    </row>
    <row r="302">
      <c r="A302" s="32" t="n">
        <v>46112</v>
      </c>
      <c r="B302" s="34" t="n">
        <v>1395879.99</v>
      </c>
      <c r="C302" s="33" t="n"/>
      <c r="D302" s="33" t="inlineStr">
        <is>
          <t>Transferencia realizada</t>
        </is>
      </c>
      <c r="E302" s="32" t="n">
        <v>46112</v>
      </c>
      <c r="F302" s="33" t="n"/>
      <c r="G302" s="34" t="n">
        <v>1395879.99</v>
      </c>
      <c r="H302" s="33" t="inlineStr">
        <is>
          <t>PAGO - 3116</t>
        </is>
      </c>
      <c r="I302" s="34" t="n">
        <v>0</v>
      </c>
      <c r="J302" s="33" t="n">
        <v>0</v>
      </c>
      <c r="K302" s="35" t="inlineStr">
        <is>
          <t>EXACTO</t>
        </is>
      </c>
      <c r="L302" s="33" t="inlineStr">
        <is>
          <t>CONCILIADO</t>
        </is>
      </c>
      <c r="M302" s="33" t="n"/>
    </row>
    <row r="303">
      <c r="A303" s="32" t="n">
        <v>46112</v>
      </c>
      <c r="B303" s="34" t="n">
        <v>243090.94</v>
      </c>
      <c r="C303" s="33" t="n"/>
      <c r="D303" s="33" t="inlineStr">
        <is>
          <t>Transferencia realizada</t>
        </is>
      </c>
      <c r="E303" s="32" t="n">
        <v>46112</v>
      </c>
      <c r="F303" s="33" t="n"/>
      <c r="G303" s="34" t="n">
        <v>243090.94</v>
      </c>
      <c r="H303" s="33" t="inlineStr">
        <is>
          <t>PAGO - 3114</t>
        </is>
      </c>
      <c r="I303" s="34" t="n">
        <v>0</v>
      </c>
      <c r="J303" s="33" t="n">
        <v>0</v>
      </c>
      <c r="K303" s="35" t="inlineStr">
        <is>
          <t>EXACTO</t>
        </is>
      </c>
      <c r="L303" s="33" t="inlineStr">
        <is>
          <t>CONCILIADO</t>
        </is>
      </c>
      <c r="M303" s="33" t="n"/>
    </row>
    <row r="304">
      <c r="A304" s="32" t="n">
        <v>46112</v>
      </c>
      <c r="B304" s="34" t="n">
        <v>1205540.25</v>
      </c>
      <c r="C304" s="33" t="n"/>
      <c r="D304" s="33" t="inlineStr">
        <is>
          <t>Transferencia realizada</t>
        </is>
      </c>
      <c r="E304" s="32" t="n">
        <v>46112</v>
      </c>
      <c r="F304" s="33" t="n"/>
      <c r="G304" s="34" t="n">
        <v>1205540.25</v>
      </c>
      <c r="H304" s="33" t="inlineStr">
        <is>
          <t>PAGO - 3120</t>
        </is>
      </c>
      <c r="I304" s="34" t="n">
        <v>0</v>
      </c>
      <c r="J304" s="33" t="n">
        <v>0</v>
      </c>
      <c r="K304" s="35" t="inlineStr">
        <is>
          <t>EXACTO</t>
        </is>
      </c>
      <c r="L304" s="33" t="inlineStr">
        <is>
          <t>CONCILIADO</t>
        </is>
      </c>
      <c r="M304" s="33" t="n"/>
    </row>
    <row r="305">
      <c r="A305" s="32" t="n">
        <v>46112</v>
      </c>
      <c r="B305" s="34" t="n">
        <v>440846.7</v>
      </c>
      <c r="C305" s="33" t="n"/>
      <c r="D305" s="33" t="inlineStr">
        <is>
          <t>Debito transf. online banking emp</t>
        </is>
      </c>
      <c r="E305" s="32" t="n">
        <v>46112</v>
      </c>
      <c r="F305" s="33" t="n"/>
      <c r="G305" s="34" t="n">
        <v>440846.7</v>
      </c>
      <c r="H305" s="33" t="inlineStr">
        <is>
          <t>MOVFONDOS - 7686</t>
        </is>
      </c>
      <c r="I305" s="34" t="n">
        <v>0</v>
      </c>
      <c r="J305" s="33" t="n">
        <v>0</v>
      </c>
      <c r="K305" s="35" t="inlineStr">
        <is>
          <t>EXACTO</t>
        </is>
      </c>
      <c r="L305" s="33" t="inlineStr">
        <is>
          <t>CONCILIADO</t>
        </is>
      </c>
      <c r="M305" s="33" t="n"/>
    </row>
    <row r="306">
      <c r="A306" s="32" t="n">
        <v>46112</v>
      </c>
      <c r="B306" s="34" t="n">
        <v>433903.21</v>
      </c>
      <c r="C306" s="33" t="n"/>
      <c r="D306" s="33" t="inlineStr">
        <is>
          <t>Transferencia realizada</t>
        </is>
      </c>
      <c r="E306" s="32" t="n">
        <v>46112</v>
      </c>
      <c r="F306" s="33" t="n"/>
      <c r="G306" s="34" t="n">
        <v>433903.21</v>
      </c>
      <c r="H306" s="33" t="inlineStr">
        <is>
          <t>PAGO - 3115</t>
        </is>
      </c>
      <c r="I306" s="34" t="n">
        <v>0</v>
      </c>
      <c r="J306" s="33" t="n">
        <v>0</v>
      </c>
      <c r="K306" s="35" t="inlineStr">
        <is>
          <t>EXACTO</t>
        </is>
      </c>
      <c r="L306" s="33" t="inlineStr">
        <is>
          <t>CONCILIADO</t>
        </is>
      </c>
      <c r="M306" s="33" t="n"/>
    </row>
    <row r="307">
      <c r="A307" s="32" t="n">
        <v>46112</v>
      </c>
      <c r="B307" s="33" t="n"/>
      <c r="C307" s="34" t="n">
        <v>324739.8</v>
      </c>
      <c r="D307" s="33" t="inlineStr">
        <is>
          <t>Transferencia recibida</t>
        </is>
      </c>
      <c r="E307" s="32" t="n">
        <v>46112</v>
      </c>
      <c r="F307" s="34" t="n">
        <v>324739.8</v>
      </c>
      <c r="G307" s="33" t="n"/>
      <c r="H307" s="33" t="inlineStr">
        <is>
          <t>MOVFONDOS - 7690</t>
        </is>
      </c>
      <c r="I307" s="34" t="n">
        <v>0</v>
      </c>
      <c r="J307" s="33" t="n">
        <v>0</v>
      </c>
      <c r="K307" s="35" t="inlineStr">
        <is>
          <t>EXACTO</t>
        </is>
      </c>
      <c r="L307" s="33" t="inlineStr">
        <is>
          <t>CONCILIADO</t>
        </is>
      </c>
      <c r="M307" s="33" t="n"/>
    </row>
    <row r="308">
      <c r="A308" s="32" t="n">
        <v>46112</v>
      </c>
      <c r="B308" s="33" t="n"/>
      <c r="C308" s="34" t="n">
        <v>508388.4</v>
      </c>
      <c r="D308" s="33" t="inlineStr">
        <is>
          <t>Pago a proveedores recibido</t>
        </is>
      </c>
      <c r="E308" s="32" t="n">
        <v>46112</v>
      </c>
      <c r="F308" s="34" t="n">
        <v>508388.4</v>
      </c>
      <c r="G308" s="33" t="n"/>
      <c r="H308" s="33" t="inlineStr">
        <is>
          <t>MOVFONDOS - 7691</t>
        </is>
      </c>
      <c r="I308" s="34" t="n">
        <v>0</v>
      </c>
      <c r="J308" s="33" t="n">
        <v>0</v>
      </c>
      <c r="K308" s="35" t="inlineStr">
        <is>
          <t>EXACTO</t>
        </is>
      </c>
      <c r="L308" s="33" t="inlineStr">
        <is>
          <t>CONCILIADO</t>
        </is>
      </c>
      <c r="M308" s="33" t="n"/>
    </row>
    <row r="309">
      <c r="A309" s="32" t="n">
        <v>46112</v>
      </c>
      <c r="B309" s="33" t="n"/>
      <c r="C309" s="34" t="n">
        <v>568430.8</v>
      </c>
      <c r="D309" s="33" t="inlineStr">
        <is>
          <t>Pago a proveedores recibido</t>
        </is>
      </c>
      <c r="E309" s="32" t="n">
        <v>46112</v>
      </c>
      <c r="F309" s="34" t="n">
        <v>568430.8</v>
      </c>
      <c r="G309" s="33" t="n"/>
      <c r="H309" s="33" t="inlineStr">
        <is>
          <t>MOVFONDOS - 7701</t>
        </is>
      </c>
      <c r="I309" s="34" t="n">
        <v>0</v>
      </c>
      <c r="J309" s="33" t="n">
        <v>0</v>
      </c>
      <c r="K309" s="35" t="inlineStr">
        <is>
          <t>EXACTO</t>
        </is>
      </c>
      <c r="L309" s="33" t="inlineStr">
        <is>
          <t>CONCILIADO</t>
        </is>
      </c>
      <c r="M309" s="33" t="n"/>
    </row>
    <row r="310">
      <c r="A310" s="32" t="n">
        <v>46112</v>
      </c>
      <c r="B310" s="33" t="n"/>
      <c r="C310" s="34" t="n">
        <v>388985.6</v>
      </c>
      <c r="D310" s="33" t="inlineStr">
        <is>
          <t>Pago a proveedores recibido</t>
        </is>
      </c>
      <c r="E310" s="32" t="n">
        <v>46112</v>
      </c>
      <c r="F310" s="34" t="n">
        <v>388985.6</v>
      </c>
      <c r="G310" s="33" t="n"/>
      <c r="H310" s="33" t="inlineStr">
        <is>
          <t>MOVFONDOS - 7702</t>
        </is>
      </c>
      <c r="I310" s="34" t="n">
        <v>0</v>
      </c>
      <c r="J310" s="33" t="n">
        <v>0</v>
      </c>
      <c r="K310" s="35" t="inlineStr">
        <is>
          <t>EXACTO</t>
        </is>
      </c>
      <c r="L310" s="33" t="inlineStr">
        <is>
          <t>CONCILIADO</t>
        </is>
      </c>
      <c r="M310" s="33" t="n"/>
    </row>
    <row r="311">
      <c r="A311" s="32" t="n">
        <v>46112</v>
      </c>
      <c r="B311" s="33" t="n"/>
      <c r="C311" s="34" t="n">
        <v>1647720.94</v>
      </c>
      <c r="D311" s="33" t="inlineStr">
        <is>
          <t>Pago a proveedores recibido</t>
        </is>
      </c>
      <c r="E311" s="32" t="n">
        <v>46112</v>
      </c>
      <c r="F311" s="34" t="n">
        <v>1647720.94</v>
      </c>
      <c r="G311" s="33" t="n"/>
      <c r="H311" s="33" t="inlineStr">
        <is>
          <t>MOVFONDOS - 7703</t>
        </is>
      </c>
      <c r="I311" s="34" t="n">
        <v>0</v>
      </c>
      <c r="J311" s="33" t="n">
        <v>0</v>
      </c>
      <c r="K311" s="35" t="inlineStr">
        <is>
          <t>EXACTO</t>
        </is>
      </c>
      <c r="L311" s="33" t="inlineStr">
        <is>
          <t>CONCILIADO</t>
        </is>
      </c>
      <c r="M311" s="33" t="n"/>
    </row>
    <row r="312">
      <c r="A312" s="32" t="n">
        <v>46112</v>
      </c>
      <c r="B312" s="33" t="n"/>
      <c r="C312" s="34" t="n">
        <v>2000000</v>
      </c>
      <c r="D312" s="33" t="inlineStr">
        <is>
          <t>Transf recibida cvu mismo titular</t>
        </is>
      </c>
      <c r="E312" s="32" t="n">
        <v>46112</v>
      </c>
      <c r="F312" s="34" t="n">
        <v>2000000</v>
      </c>
      <c r="G312" s="33" t="n"/>
      <c r="H312" s="33" t="inlineStr">
        <is>
          <t>MOVFONDOS - 7697</t>
        </is>
      </c>
      <c r="I312" s="34" t="n">
        <v>0</v>
      </c>
      <c r="J312" s="33" t="n">
        <v>0</v>
      </c>
      <c r="K312" s="35" t="inlineStr">
        <is>
          <t>EXACTO</t>
        </is>
      </c>
      <c r="L312" s="33" t="inlineStr">
        <is>
          <t>CONCILIADO</t>
        </is>
      </c>
      <c r="M312" s="33" t="n"/>
    </row>
    <row r="313">
      <c r="A313" s="32" t="n">
        <v>46112</v>
      </c>
      <c r="B313" s="34" t="n">
        <v>1113200</v>
      </c>
      <c r="C313" s="33" t="n"/>
      <c r="D313" s="33" t="inlineStr">
        <is>
          <t>Transferencia realizada</t>
        </is>
      </c>
      <c r="E313" s="32" t="n">
        <v>46112</v>
      </c>
      <c r="F313" s="33" t="n"/>
      <c r="G313" s="34" t="n">
        <v>1113200</v>
      </c>
      <c r="H313" s="33" t="inlineStr">
        <is>
          <t>PAGO - 3123</t>
        </is>
      </c>
      <c r="I313" s="34" t="n">
        <v>0</v>
      </c>
      <c r="J313" s="33" t="n">
        <v>0</v>
      </c>
      <c r="K313" s="35" t="inlineStr">
        <is>
          <t>EXACTO</t>
        </is>
      </c>
      <c r="L313" s="33" t="inlineStr">
        <is>
          <t>CONCILIADO</t>
        </is>
      </c>
      <c r="M313" s="33" t="n"/>
    </row>
    <row r="314">
      <c r="A314" s="32" t="n">
        <v>46112</v>
      </c>
      <c r="B314" s="33" t="n"/>
      <c r="C314" s="34" t="n">
        <v>10000000</v>
      </c>
      <c r="D314" s="33" t="inlineStr">
        <is>
          <t>Suscripcion fondos comunes invers</t>
        </is>
      </c>
      <c r="E314" s="32" t="n">
        <v>46112</v>
      </c>
      <c r="F314" s="33" t="n"/>
      <c r="G314" s="34" t="n">
        <v>10000000</v>
      </c>
      <c r="H314" s="33" t="inlineStr">
        <is>
          <t>MOVFONDOS - 7698</t>
        </is>
      </c>
      <c r="I314" s="34" t="n">
        <v>0</v>
      </c>
      <c r="J314" s="33" t="n">
        <v>0</v>
      </c>
      <c r="K314" s="35" t="inlineStr">
        <is>
          <t>EXACTO</t>
        </is>
      </c>
      <c r="L314" s="33" t="inlineStr">
        <is>
          <t>CONCILIADO</t>
        </is>
      </c>
      <c r="M314" s="33" t="n"/>
    </row>
    <row r="315">
      <c r="A315" s="32" t="n">
        <v>46112</v>
      </c>
      <c r="B315" s="33" t="n"/>
      <c r="C315" s="34" t="n">
        <v>64999999.99</v>
      </c>
      <c r="D315" s="33" t="inlineStr">
        <is>
          <t>Rescate fondos comunes inversion</t>
        </is>
      </c>
      <c r="E315" s="32" t="n">
        <v>46112</v>
      </c>
      <c r="F315" s="34" t="n">
        <v>64999999.99</v>
      </c>
      <c r="G315" s="33" t="n"/>
      <c r="H315" s="33" t="inlineStr">
        <is>
          <t>MOVFONDOS - 7687</t>
        </is>
      </c>
      <c r="I315" s="34" t="n">
        <v>0</v>
      </c>
      <c r="J315" s="33" t="n">
        <v>0</v>
      </c>
      <c r="K315" s="35" t="inlineStr">
        <is>
          <t>EXACTO</t>
        </is>
      </c>
      <c r="L315" s="33" t="inlineStr">
        <is>
          <t>CONCILIADO</t>
        </is>
      </c>
      <c r="M315" s="33" t="n"/>
    </row>
    <row r="316">
      <c r="A316" s="32" t="n">
        <v>46112</v>
      </c>
      <c r="B316" s="33" t="n"/>
      <c r="C316" s="34" t="n">
        <v>556855.23</v>
      </c>
      <c r="D316" s="33" t="inlineStr">
        <is>
          <t>Deposito echeq canje interno 24hs</t>
        </is>
      </c>
      <c r="E316" s="32" t="n">
        <v>46112</v>
      </c>
      <c r="F316" s="34" t="n">
        <v>556855.23</v>
      </c>
      <c r="G316" s="33" t="n"/>
      <c r="H316" s="33" t="inlineStr">
        <is>
          <t>MOVFONDOS - 7699</t>
        </is>
      </c>
      <c r="I316" s="34" t="n">
        <v>0</v>
      </c>
      <c r="J316" s="33" t="n">
        <v>0</v>
      </c>
      <c r="K316" s="35" t="inlineStr">
        <is>
          <t>EXACTO</t>
        </is>
      </c>
      <c r="L316" s="33" t="inlineStr">
        <is>
          <t>CONCILIADO</t>
        </is>
      </c>
      <c r="M316" s="33" t="n"/>
    </row>
    <row r="317">
      <c r="A317" s="32" t="n">
        <v>46112</v>
      </c>
      <c r="B317" s="34" t="n">
        <v>2460000</v>
      </c>
      <c r="C317" s="33" t="n"/>
      <c r="D317" s="33" t="inlineStr">
        <is>
          <t>Pago de honorarios</t>
        </is>
      </c>
      <c r="E317" s="32" t="n">
        <v>46112</v>
      </c>
      <c r="F317" s="33" t="n"/>
      <c r="G317" s="34" t="n">
        <v>2460000</v>
      </c>
      <c r="H317" s="33" t="inlineStr">
        <is>
          <t>PAGO - 3112</t>
        </is>
      </c>
      <c r="I317" s="34" t="n">
        <v>0</v>
      </c>
      <c r="J317" s="33" t="n">
        <v>0</v>
      </c>
      <c r="K317" s="35" t="inlineStr">
        <is>
          <t>EXACTO</t>
        </is>
      </c>
      <c r="L317" s="33" t="inlineStr">
        <is>
          <t>CONCILIADO</t>
        </is>
      </c>
      <c r="M317" s="33" t="n"/>
    </row>
    <row r="318">
      <c r="A318" s="32" t="n">
        <v>46112</v>
      </c>
      <c r="B318" s="34" t="n">
        <v>1000000</v>
      </c>
      <c r="C318" s="33" t="n"/>
      <c r="D318" s="33" t="inlineStr">
        <is>
          <t>Pago de honorarios</t>
        </is>
      </c>
      <c r="E318" s="32" t="n">
        <v>46112</v>
      </c>
      <c r="F318" s="33" t="n"/>
      <c r="G318" s="34" t="n">
        <v>1000000</v>
      </c>
      <c r="H318" s="33" t="inlineStr">
        <is>
          <t>PAGO - 3113</t>
        </is>
      </c>
      <c r="I318" s="34" t="n">
        <v>0</v>
      </c>
      <c r="J318" s="33" t="n">
        <v>0</v>
      </c>
      <c r="K318" s="35" t="inlineStr">
        <is>
          <t>EXACTO</t>
        </is>
      </c>
      <c r="L318" s="33" t="inlineStr">
        <is>
          <t>CONCILIADO</t>
        </is>
      </c>
      <c r="M318" s="33" t="n"/>
    </row>
    <row r="319">
      <c r="A319" s="32" t="n">
        <v>46084</v>
      </c>
      <c r="B319" s="33" t="n"/>
      <c r="C319" s="34" t="n">
        <v>2637600.65</v>
      </c>
      <c r="D319" s="33" t="inlineStr">
        <is>
          <t>Deposito e-cheq 48hs presencia bsr</t>
        </is>
      </c>
      <c r="E319" s="32" t="n">
        <v>46083</v>
      </c>
      <c r="F319" s="34" t="n">
        <v>2637600.65</v>
      </c>
      <c r="G319" s="33" t="n"/>
      <c r="H319" s="33" t="inlineStr">
        <is>
          <t>MOVFONDOS - 7299</t>
        </is>
      </c>
      <c r="I319" s="34" t="n">
        <v>0</v>
      </c>
      <c r="J319" s="33" t="n">
        <v>0</v>
      </c>
      <c r="K319" s="33" t="inlineStr">
        <is>
          <t>FUERTE</t>
        </is>
      </c>
      <c r="L319" s="33" t="inlineStr">
        <is>
          <t>CONCILIADO</t>
        </is>
      </c>
      <c r="M319" s="33" t="n"/>
    </row>
    <row r="320">
      <c r="A320" s="32" t="n">
        <v>46085</v>
      </c>
      <c r="B320" s="34" t="n">
        <v>9000000</v>
      </c>
      <c r="C320" s="33" t="n"/>
      <c r="D320" s="33" t="inlineStr">
        <is>
          <t>Suscripcion fondos comunes invers</t>
        </is>
      </c>
      <c r="E320" s="32" t="n">
        <v>46086</v>
      </c>
      <c r="F320" s="33" t="n"/>
      <c r="G320" s="34" t="n">
        <v>9000000</v>
      </c>
      <c r="H320" s="33" t="inlineStr">
        <is>
          <t>MOVFONDOS - 7349</t>
        </is>
      </c>
      <c r="I320" s="34" t="n">
        <v>0</v>
      </c>
      <c r="J320" s="33" t="n">
        <v>0</v>
      </c>
      <c r="K320" s="33" t="inlineStr">
        <is>
          <t>FUERTE</t>
        </is>
      </c>
      <c r="L320" s="33" t="inlineStr">
        <is>
          <t>CONCILIADO</t>
        </is>
      </c>
      <c r="M320" s="33" t="n"/>
    </row>
    <row r="321">
      <c r="A321" s="32" t="n">
        <v>46091</v>
      </c>
      <c r="B321" s="33" t="n"/>
      <c r="C321" s="34" t="n">
        <v>590000</v>
      </c>
      <c r="D321" s="33" t="inlineStr">
        <is>
          <t>Cfu depecheq val cobro sin presenc</t>
        </is>
      </c>
      <c r="E321" s="32" t="n">
        <v>46090</v>
      </c>
      <c r="F321" s="34" t="n">
        <v>590000</v>
      </c>
      <c r="G321" s="33" t="n"/>
      <c r="H321" s="33" t="inlineStr">
        <is>
          <t>MOVFONDOS - 7383</t>
        </is>
      </c>
      <c r="I321" s="34" t="n">
        <v>0</v>
      </c>
      <c r="J321" s="33" t="n">
        <v>0</v>
      </c>
      <c r="K321" s="33" t="inlineStr">
        <is>
          <t>FUERTE</t>
        </is>
      </c>
      <c r="L321" s="33" t="inlineStr">
        <is>
          <t>CONCILIADO</t>
        </is>
      </c>
      <c r="M321" s="33" t="n"/>
    </row>
    <row r="322">
      <c r="A322" s="32" t="n">
        <v>46099</v>
      </c>
      <c r="B322" s="33" t="n"/>
      <c r="C322" s="34" t="n">
        <v>184531.62</v>
      </c>
      <c r="D322" s="33" t="inlineStr">
        <is>
          <t>Deposito echeq otro banco 48hs</t>
        </is>
      </c>
      <c r="E322" s="32" t="n">
        <v>46098</v>
      </c>
      <c r="F322" s="34" t="n">
        <v>184531.62</v>
      </c>
      <c r="G322" s="33" t="n"/>
      <c r="H322" s="33" t="inlineStr">
        <is>
          <t>MOVFONDOS - 7559</t>
        </is>
      </c>
      <c r="I322" s="34" t="n">
        <v>0</v>
      </c>
      <c r="J322" s="33" t="n">
        <v>0</v>
      </c>
      <c r="K322" s="33" t="inlineStr">
        <is>
          <t>FUERTE</t>
        </is>
      </c>
      <c r="L322" s="33" t="inlineStr">
        <is>
          <t>CONCILIADO</t>
        </is>
      </c>
      <c r="M322" s="33" t="n"/>
    </row>
    <row r="323">
      <c r="A323" s="32" t="n">
        <v>46101</v>
      </c>
      <c r="B323" s="33" t="n"/>
      <c r="C323" s="34" t="n">
        <v>292236</v>
      </c>
      <c r="D323" s="33" t="inlineStr">
        <is>
          <t>Deposito e-cheq 48hs presencia bsr</t>
        </is>
      </c>
      <c r="E323" s="32" t="n">
        <v>46100</v>
      </c>
      <c r="F323" s="34" t="n">
        <v>292236</v>
      </c>
      <c r="G323" s="33" t="n"/>
      <c r="H323" s="33" t="inlineStr">
        <is>
          <t>MOVFONDOS - 7556</t>
        </is>
      </c>
      <c r="I323" s="34" t="n">
        <v>0</v>
      </c>
      <c r="J323" s="33" t="n">
        <v>0</v>
      </c>
      <c r="K323" s="33" t="inlineStr">
        <is>
          <t>FUERTE</t>
        </is>
      </c>
      <c r="L323" s="33" t="inlineStr">
        <is>
          <t>CONCILIADO</t>
        </is>
      </c>
      <c r="M323" s="33" t="n"/>
    </row>
    <row r="324">
      <c r="A324" s="32" t="n">
        <v>46111</v>
      </c>
      <c r="B324" s="33" t="n"/>
      <c r="C324" s="34" t="n">
        <v>15000000</v>
      </c>
      <c r="D324" s="33" t="inlineStr">
        <is>
          <t>Transf recibida cvu mismo titular</t>
        </is>
      </c>
      <c r="E324" s="32" t="n">
        <v>46112</v>
      </c>
      <c r="F324" s="34" t="n">
        <v>15000000</v>
      </c>
      <c r="G324" s="33" t="n"/>
      <c r="H324" s="33" t="inlineStr">
        <is>
          <t>MOVFONDOS - 7871</t>
        </is>
      </c>
      <c r="I324" s="34" t="n">
        <v>0</v>
      </c>
      <c r="J324" s="33" t="n">
        <v>0</v>
      </c>
      <c r="K324" s="33" t="inlineStr">
        <is>
          <t>FUERTE</t>
        </is>
      </c>
      <c r="L324" s="33" t="inlineStr">
        <is>
          <t>CONCILIADO</t>
        </is>
      </c>
      <c r="M324" s="33" t="n"/>
    </row>
    <row r="325">
      <c r="A325" s="36" t="n">
        <v>46112</v>
      </c>
      <c r="B325" s="37" t="n">
        <v>1175992</v>
      </c>
      <c r="C325" s="38" t="n"/>
      <c r="D325" s="38" t="inlineStr">
        <is>
          <t>Transferencia realizada</t>
        </is>
      </c>
      <c r="E325" s="36" t="n">
        <v>46112</v>
      </c>
      <c r="F325" s="38" t="n"/>
      <c r="G325" s="37" t="n">
        <v>1175992.01</v>
      </c>
      <c r="H325" s="38" t="inlineStr">
        <is>
          <t>PAGO - 3122</t>
        </is>
      </c>
      <c r="I325" s="39" t="n">
        <v>0.01</v>
      </c>
      <c r="J325" s="38" t="n">
        <v>0</v>
      </c>
      <c r="K325" s="38" t="inlineStr">
        <is>
          <t>FUERTE</t>
        </is>
      </c>
      <c r="L325" s="38" t="inlineStr">
        <is>
          <t>CON_DIFERENCIA</t>
        </is>
      </c>
      <c r="M325" s="38" t="n"/>
    </row>
    <row r="326">
      <c r="A326" s="36" t="n">
        <v>46091</v>
      </c>
      <c r="B326" s="37" t="n">
        <v>71602999.77</v>
      </c>
      <c r="C326" s="38" t="n"/>
      <c r="D326" s="38" t="inlineStr">
        <is>
          <t>Rescate fondos comunes inversion</t>
        </is>
      </c>
      <c r="E326" s="36" t="n">
        <v>46091</v>
      </c>
      <c r="F326" s="37" t="n">
        <v>71602999.81999999</v>
      </c>
      <c r="G326" s="38" t="n"/>
      <c r="H326" s="38" t="inlineStr">
        <is>
          <t>MOVFONDOS - 7412</t>
        </is>
      </c>
      <c r="I326" s="39" t="n">
        <v>0.05</v>
      </c>
      <c r="J326" s="38" t="n">
        <v>0</v>
      </c>
      <c r="K326" s="38" t="inlineStr">
        <is>
          <t>FUERTE</t>
        </is>
      </c>
      <c r="L326" s="38" t="inlineStr">
        <is>
          <t>CON_DIFERENCIA</t>
        </is>
      </c>
      <c r="M326" s="38" t="n"/>
    </row>
    <row r="327">
      <c r="A327" s="36" t="n">
        <v>46110</v>
      </c>
      <c r="B327" s="38" t="n"/>
      <c r="C327" s="37" t="n">
        <v>56571.58</v>
      </c>
      <c r="D327" s="38" t="inlineStr">
        <is>
          <t>Transferencia recibida</t>
        </is>
      </c>
      <c r="E327" s="36" t="n">
        <v>46110</v>
      </c>
      <c r="F327" s="37" t="n">
        <v>56571.5</v>
      </c>
      <c r="G327" s="38" t="n"/>
      <c r="H327" s="38" t="inlineStr">
        <is>
          <t>MOVFONDOS - 7656</t>
        </is>
      </c>
      <c r="I327" s="39" t="n">
        <v>0.08</v>
      </c>
      <c r="J327" s="38" t="n">
        <v>0</v>
      </c>
      <c r="K327" s="38" t="inlineStr">
        <is>
          <t>FUERTE</t>
        </is>
      </c>
      <c r="L327" s="38" t="inlineStr">
        <is>
          <t>CON_DIFERENCIA</t>
        </is>
      </c>
      <c r="M327" s="38" t="n"/>
    </row>
    <row r="328">
      <c r="A328" s="32" t="n">
        <v>46086</v>
      </c>
      <c r="B328" s="33" t="n"/>
      <c r="C328" s="34" t="n">
        <v>792947.4</v>
      </c>
      <c r="D328" s="33" t="inlineStr">
        <is>
          <t>Deposito echeq otro banco 48hs</t>
        </is>
      </c>
      <c r="E328" s="32" t="n">
        <v>46084</v>
      </c>
      <c r="F328" s="34" t="n">
        <v>792947.4</v>
      </c>
      <c r="G328" s="33" t="n"/>
      <c r="H328" s="33" t="inlineStr">
        <is>
          <t>MOVFONDOS - 7366</t>
        </is>
      </c>
      <c r="I328" s="34" t="n">
        <v>0</v>
      </c>
      <c r="J328" s="33" t="n">
        <v>0</v>
      </c>
      <c r="K328" s="35" t="inlineStr">
        <is>
          <t>MEDIO</t>
        </is>
      </c>
      <c r="L328" s="33" t="inlineStr">
        <is>
          <t>CONCILIADO</t>
        </is>
      </c>
      <c r="M328" s="33" t="n"/>
    </row>
    <row r="329">
      <c r="A329" s="32" t="n">
        <v>46100</v>
      </c>
      <c r="B329" s="33" t="n"/>
      <c r="C329" s="34" t="n">
        <v>120730.65</v>
      </c>
      <c r="D329" s="33" t="inlineStr">
        <is>
          <t>Valor al cobro comp elect prop loc</t>
        </is>
      </c>
      <c r="E329" s="32" t="n">
        <v>46098</v>
      </c>
      <c r="F329" s="34" t="n">
        <v>120730.65</v>
      </c>
      <c r="G329" s="33" t="n"/>
      <c r="H329" s="33" t="inlineStr">
        <is>
          <t>MOVFONDOS - 7526</t>
        </is>
      </c>
      <c r="I329" s="34" t="n">
        <v>0</v>
      </c>
      <c r="J329" s="33" t="n">
        <v>0</v>
      </c>
      <c r="K329" s="35" t="inlineStr">
        <is>
          <t>MEDIO</t>
        </is>
      </c>
      <c r="L329" s="33" t="inlineStr">
        <is>
          <t>CONCILIADO</t>
        </is>
      </c>
      <c r="M329" s="33" t="n"/>
    </row>
    <row r="330">
      <c r="A330" s="32" t="n">
        <v>46090</v>
      </c>
      <c r="B330" s="33" t="n"/>
      <c r="C330" s="34" t="n">
        <v>530751.65</v>
      </c>
      <c r="D330" s="33" t="inlineStr">
        <is>
          <t>Deposito echeq otro banco 48hs</t>
        </is>
      </c>
      <c r="E330" s="32" t="n">
        <v>46087</v>
      </c>
      <c r="F330" s="34" t="n">
        <v>530751.65</v>
      </c>
      <c r="G330" s="33" t="n"/>
      <c r="H330" s="33" t="inlineStr">
        <is>
          <t>MOVFONDOS - 7365</t>
        </is>
      </c>
      <c r="I330" s="34" t="n">
        <v>0</v>
      </c>
      <c r="J330" s="33" t="n">
        <v>0</v>
      </c>
      <c r="K330" s="35" t="inlineStr">
        <is>
          <t>MEDIO</t>
        </is>
      </c>
      <c r="L330" s="33" t="inlineStr">
        <is>
          <t>CONCILIADO</t>
        </is>
      </c>
      <c r="M330" s="33" t="n"/>
    </row>
    <row r="331">
      <c r="A331" s="32" t="n">
        <v>46090</v>
      </c>
      <c r="B331" s="33" t="n"/>
      <c r="C331" s="34" t="n">
        <v>625867.8100000001</v>
      </c>
      <c r="D331" s="33" t="inlineStr">
        <is>
          <t>Deposito e-cheq 48hs presencia bsr</t>
        </is>
      </c>
      <c r="E331" s="32" t="n">
        <v>46087</v>
      </c>
      <c r="F331" s="34" t="n">
        <v>625867.8100000001</v>
      </c>
      <c r="G331" s="33" t="n"/>
      <c r="H331" s="33" t="inlineStr">
        <is>
          <t>MOVFONDOS - 7365</t>
        </is>
      </c>
      <c r="I331" s="34" t="n">
        <v>0</v>
      </c>
      <c r="J331" s="33" t="n">
        <v>0</v>
      </c>
      <c r="K331" s="35" t="inlineStr">
        <is>
          <t>MEDIO</t>
        </is>
      </c>
      <c r="L331" s="33" t="inlineStr">
        <is>
          <t>CONCILIADO</t>
        </is>
      </c>
      <c r="M331" s="33" t="n"/>
    </row>
    <row r="332">
      <c r="A332" s="32" t="n">
        <v>46111</v>
      </c>
      <c r="B332" s="34" t="n">
        <v>542786.63</v>
      </c>
      <c r="C332" s="33" t="n"/>
      <c r="D332" s="33" t="inlineStr">
        <is>
          <t>Transferencia realizada</t>
        </is>
      </c>
      <c r="E332" s="32" t="n">
        <v>46108</v>
      </c>
      <c r="F332" s="33" t="n"/>
      <c r="G332" s="34" t="n">
        <v>542786.63</v>
      </c>
      <c r="H332" s="33" t="inlineStr">
        <is>
          <t>PAGO - 3098</t>
        </is>
      </c>
      <c r="I332" s="34" t="n">
        <v>0</v>
      </c>
      <c r="J332" s="33" t="n">
        <v>0</v>
      </c>
      <c r="K332" s="35" t="inlineStr">
        <is>
          <t>MEDIO</t>
        </is>
      </c>
      <c r="L332" s="33" t="inlineStr">
        <is>
          <t>CONCILIADO</t>
        </is>
      </c>
      <c r="M332" s="33" t="n"/>
    </row>
    <row r="333">
      <c r="A333" s="32" t="n">
        <v>46107</v>
      </c>
      <c r="B333" s="33" t="n"/>
      <c r="C333" s="34" t="n">
        <v>3430492</v>
      </c>
      <c r="D333" s="33" t="inlineStr">
        <is>
          <t>Deposito e-cheq 48hs presencia bsr</t>
        </is>
      </c>
      <c r="E333" s="32" t="n">
        <v>46112</v>
      </c>
      <c r="F333" s="34" t="n">
        <v>3430492</v>
      </c>
      <c r="G333" s="33" t="n"/>
      <c r="H333" s="33" t="inlineStr">
        <is>
          <t>MOVFONDOS - 7700</t>
        </is>
      </c>
      <c r="I333" s="34" t="n">
        <v>0</v>
      </c>
      <c r="J333" s="33" t="n">
        <v>0</v>
      </c>
      <c r="K333" s="35" t="inlineStr">
        <is>
          <t>MEDIO</t>
        </is>
      </c>
      <c r="L333" s="33" t="inlineStr">
        <is>
          <t>CONCILIADO</t>
        </is>
      </c>
      <c r="M333" s="33" t="n"/>
    </row>
    <row r="335">
      <c r="A335" s="40" t="inlineStr">
        <is>
          <t>SOLO EN BANCO (79 movimientos sin match)</t>
        </is>
      </c>
    </row>
    <row r="336">
      <c r="A336" s="25" t="inlineStr">
        <is>
          <t>Fecha</t>
        </is>
      </c>
      <c r="B336" s="25" t="inlineStr">
        <is>
          <t>Concepto</t>
        </is>
      </c>
      <c r="C336" s="25" t="inlineStr">
        <is>
          <t>Tipo Automático</t>
        </is>
      </c>
      <c r="D336" s="25" t="inlineStr">
        <is>
          <t>Débito</t>
        </is>
      </c>
      <c r="E336" s="25" t="inlineStr">
        <is>
          <t>Crédito</t>
        </is>
      </c>
      <c r="F336" s="25" t="inlineStr"/>
      <c r="G336" s="25" t="inlineStr"/>
      <c r="H336" s="25" t="inlineStr"/>
    </row>
    <row r="337">
      <c r="A337" s="41" t="n">
        <v>46083</v>
      </c>
      <c r="B337" s="35" t="inlineStr">
        <is>
          <t>Deposito echeq canje interno 24hs</t>
        </is>
      </c>
      <c r="C337" s="35" t="inlineStr">
        <is>
          <t>OTRO</t>
        </is>
      </c>
      <c r="D337" s="35" t="n"/>
      <c r="E337" s="39" t="n">
        <v>1163194.25</v>
      </c>
    </row>
    <row r="338">
      <c r="A338" s="41" t="n">
        <v>46084</v>
      </c>
      <c r="B338" s="35" t="inlineStr">
        <is>
          <t>Deposito echeq otro banco 48hs</t>
        </is>
      </c>
      <c r="C338" s="35" t="inlineStr">
        <is>
          <t>OTRO</t>
        </is>
      </c>
      <c r="D338" s="35" t="n"/>
      <c r="E338" s="39" t="n">
        <v>6328339.56</v>
      </c>
    </row>
    <row r="339">
      <c r="A339" s="41" t="n">
        <v>46084</v>
      </c>
      <c r="B339" s="35" t="inlineStr">
        <is>
          <t>Transf recibida cvu mismo titular</t>
        </is>
      </c>
      <c r="C339" s="35" t="inlineStr">
        <is>
          <t>OTRO</t>
        </is>
      </c>
      <c r="D339" s="35" t="n"/>
      <c r="E339" s="39" t="n">
        <v>1800000</v>
      </c>
    </row>
    <row r="340">
      <c r="A340" s="41" t="n">
        <v>46086</v>
      </c>
      <c r="B340" s="35" t="inlineStr">
        <is>
          <t>Debito automatico</t>
        </is>
      </c>
      <c r="C340" s="35" t="inlineStr">
        <is>
          <t>DEB_AUTOMATICO</t>
        </is>
      </c>
      <c r="D340" s="39" t="n">
        <v>234360</v>
      </c>
      <c r="E340" s="35" t="n"/>
    </row>
    <row r="341">
      <c r="A341" s="41" t="n">
        <v>46086</v>
      </c>
      <c r="B341" s="35" t="inlineStr">
        <is>
          <t>Debito automatico</t>
        </is>
      </c>
      <c r="C341" s="35" t="inlineStr">
        <is>
          <t>DEB_AUTOMATICO</t>
        </is>
      </c>
      <c r="D341" s="39" t="n">
        <v>238545</v>
      </c>
      <c r="E341" s="35" t="n"/>
    </row>
    <row r="342">
      <c r="A342" s="41" t="n">
        <v>46086</v>
      </c>
      <c r="B342" s="35" t="inlineStr">
        <is>
          <t>Debito automatico</t>
        </is>
      </c>
      <c r="C342" s="35" t="inlineStr">
        <is>
          <t>DEB_AUTOMATICO</t>
        </is>
      </c>
      <c r="D342" s="39" t="n">
        <v>7271</v>
      </c>
      <c r="E342" s="35" t="n"/>
    </row>
    <row r="343">
      <c r="A343" s="41" t="n">
        <v>46086</v>
      </c>
      <c r="B343" s="35" t="inlineStr">
        <is>
          <t>Snp debito directo</t>
        </is>
      </c>
      <c r="C343" s="35" t="inlineStr">
        <is>
          <t>OTRO</t>
        </is>
      </c>
      <c r="D343" s="39" t="n">
        <v>106.13</v>
      </c>
      <c r="E343" s="35" t="n"/>
    </row>
    <row r="344">
      <c r="A344" s="41" t="n">
        <v>46086</v>
      </c>
      <c r="B344" s="35" t="inlineStr">
        <is>
          <t>Debito automatico</t>
        </is>
      </c>
      <c r="C344" s="35" t="inlineStr">
        <is>
          <t>DEB_AUTOMATICO</t>
        </is>
      </c>
      <c r="D344" s="39" t="n">
        <v>54448.25</v>
      </c>
      <c r="E344" s="35" t="n"/>
    </row>
    <row r="345">
      <c r="A345" s="41" t="n">
        <v>46086</v>
      </c>
      <c r="B345" s="35" t="inlineStr">
        <is>
          <t>Rescate fondos comunes inversion</t>
        </is>
      </c>
      <c r="C345" s="35" t="inlineStr">
        <is>
          <t>OTRO</t>
        </is>
      </c>
      <c r="D345" s="35" t="n"/>
      <c r="E345" s="39" t="n">
        <v>6000000</v>
      </c>
    </row>
    <row r="346">
      <c r="A346" s="41" t="n">
        <v>46087</v>
      </c>
      <c r="B346" s="35" t="inlineStr">
        <is>
          <t>Pago a proveedores recibido</t>
        </is>
      </c>
      <c r="C346" s="35" t="inlineStr">
        <is>
          <t>OTRO</t>
        </is>
      </c>
      <c r="D346" s="35" t="n"/>
      <c r="E346" s="39" t="n">
        <v>3170890.8</v>
      </c>
    </row>
    <row r="347">
      <c r="A347" s="41" t="n">
        <v>46087</v>
      </c>
      <c r="B347" s="35" t="inlineStr">
        <is>
          <t>Suscripcion fondos comunes invers</t>
        </is>
      </c>
      <c r="C347" s="35" t="inlineStr">
        <is>
          <t>OTRO</t>
        </is>
      </c>
      <c r="D347" s="39" t="n">
        <v>9000000</v>
      </c>
      <c r="E347" s="35" t="n"/>
    </row>
    <row r="348">
      <c r="A348" s="41" t="n">
        <v>46090</v>
      </c>
      <c r="B348" s="35" t="inlineStr">
        <is>
          <t>Rescate fondos comunes inversion</t>
        </is>
      </c>
      <c r="C348" s="35" t="inlineStr">
        <is>
          <t>OTRO</t>
        </is>
      </c>
      <c r="D348" s="39" t="n">
        <v>23500000</v>
      </c>
      <c r="E348" s="35" t="n"/>
    </row>
    <row r="349">
      <c r="A349" s="41" t="n">
        <v>46091</v>
      </c>
      <c r="B349" s="35" t="inlineStr">
        <is>
          <t>Deposito echeq otro banco 48hs</t>
        </is>
      </c>
      <c r="C349" s="35" t="inlineStr">
        <is>
          <t>OTRO</t>
        </is>
      </c>
      <c r="D349" s="35" t="n"/>
      <c r="E349" s="39" t="n">
        <v>225561.43</v>
      </c>
    </row>
    <row r="350">
      <c r="A350" s="41" t="n">
        <v>46091</v>
      </c>
      <c r="B350" s="35" t="inlineStr">
        <is>
          <t>Debito automatico</t>
        </is>
      </c>
      <c r="C350" s="35" t="inlineStr">
        <is>
          <t>DEB_AUTOMATICO</t>
        </is>
      </c>
      <c r="D350" s="39" t="n">
        <v>17695</v>
      </c>
      <c r="E350" s="35" t="n"/>
    </row>
    <row r="351">
      <c r="A351" s="41" t="n">
        <v>46091</v>
      </c>
      <c r="B351" s="35" t="inlineStr">
        <is>
          <t>Pago haberes</t>
        </is>
      </c>
      <c r="C351" s="35" t="inlineStr">
        <is>
          <t>OTRO</t>
        </is>
      </c>
      <c r="D351" s="39" t="n">
        <v>47296</v>
      </c>
      <c r="E351" s="35" t="n"/>
    </row>
    <row r="352">
      <c r="A352" s="41" t="n">
        <v>46091</v>
      </c>
      <c r="B352" s="35" t="inlineStr">
        <is>
          <t>Pago haberes</t>
        </is>
      </c>
      <c r="C352" s="35" t="inlineStr">
        <is>
          <t>OTRO</t>
        </is>
      </c>
      <c r="D352" s="39" t="n">
        <v>74322</v>
      </c>
      <c r="E352" s="35" t="n"/>
    </row>
    <row r="353">
      <c r="A353" s="41" t="n">
        <v>46091</v>
      </c>
      <c r="B353" s="35" t="inlineStr">
        <is>
          <t>Pago haberes</t>
        </is>
      </c>
      <c r="C353" s="35" t="inlineStr">
        <is>
          <t>OTRO</t>
        </is>
      </c>
      <c r="D353" s="39" t="n">
        <v>62038</v>
      </c>
      <c r="E353" s="35" t="n"/>
    </row>
    <row r="354">
      <c r="A354" s="41" t="n">
        <v>46091</v>
      </c>
      <c r="B354" s="35" t="inlineStr">
        <is>
          <t>Pago haberes</t>
        </is>
      </c>
      <c r="C354" s="35" t="inlineStr">
        <is>
          <t>OTRO</t>
        </is>
      </c>
      <c r="D354" s="39" t="n">
        <v>70023</v>
      </c>
      <c r="E354" s="35" t="n"/>
    </row>
    <row r="355">
      <c r="A355" s="41" t="n">
        <v>46091</v>
      </c>
      <c r="B355" s="35" t="inlineStr">
        <is>
          <t>Pago haberes</t>
        </is>
      </c>
      <c r="C355" s="35" t="inlineStr">
        <is>
          <t>OTRO</t>
        </is>
      </c>
      <c r="D355" s="39" t="n">
        <v>73708</v>
      </c>
      <c r="E355" s="35" t="n"/>
    </row>
    <row r="356">
      <c r="A356" s="41" t="n">
        <v>46091</v>
      </c>
      <c r="B356" s="35" t="inlineStr">
        <is>
          <t>Pago haberes</t>
        </is>
      </c>
      <c r="C356" s="35" t="inlineStr">
        <is>
          <t>OTRO</t>
        </is>
      </c>
      <c r="D356" s="39" t="n">
        <v>70637</v>
      </c>
      <c r="E356" s="35" t="n"/>
    </row>
    <row r="357">
      <c r="A357" s="41" t="n">
        <v>46091</v>
      </c>
      <c r="B357" s="35" t="inlineStr">
        <is>
          <t>Pago haberes</t>
        </is>
      </c>
      <c r="C357" s="35" t="inlineStr">
        <is>
          <t>OTRO</t>
        </is>
      </c>
      <c r="D357" s="39" t="n">
        <v>73094</v>
      </c>
      <c r="E357" s="35" t="n"/>
    </row>
    <row r="358">
      <c r="A358" s="41" t="n">
        <v>46091</v>
      </c>
      <c r="B358" s="35" t="inlineStr">
        <is>
          <t>Pago haberes</t>
        </is>
      </c>
      <c r="C358" s="35" t="inlineStr">
        <is>
          <t>OTRO</t>
        </is>
      </c>
      <c r="D358" s="39" t="n">
        <v>61424</v>
      </c>
      <c r="E358" s="35" t="n"/>
    </row>
    <row r="359">
      <c r="A359" s="41" t="n">
        <v>46091</v>
      </c>
      <c r="B359" s="35" t="inlineStr">
        <is>
          <t>Pago haberes</t>
        </is>
      </c>
      <c r="C359" s="35" t="inlineStr">
        <is>
          <t>OTRO</t>
        </is>
      </c>
      <c r="D359" s="39" t="n">
        <v>70023</v>
      </c>
      <c r="E359" s="35" t="n"/>
    </row>
    <row r="360">
      <c r="A360" s="41" t="n">
        <v>46091</v>
      </c>
      <c r="B360" s="35" t="inlineStr">
        <is>
          <t>Pago haberes</t>
        </is>
      </c>
      <c r="C360" s="35" t="inlineStr">
        <is>
          <t>OTRO</t>
        </is>
      </c>
      <c r="D360" s="39" t="n">
        <v>62038</v>
      </c>
      <c r="E360" s="35" t="n"/>
    </row>
    <row r="361">
      <c r="A361" s="41" t="n">
        <v>46091</v>
      </c>
      <c r="B361" s="35" t="inlineStr">
        <is>
          <t>Pago haberes</t>
        </is>
      </c>
      <c r="C361" s="35" t="inlineStr">
        <is>
          <t>OTRO</t>
        </is>
      </c>
      <c r="D361" s="39" t="n">
        <v>63266</v>
      </c>
      <c r="E361" s="35" t="n"/>
    </row>
    <row r="362">
      <c r="A362" s="41" t="n">
        <v>46091</v>
      </c>
      <c r="B362" s="35" t="inlineStr">
        <is>
          <t>Pago haberes</t>
        </is>
      </c>
      <c r="C362" s="35" t="inlineStr">
        <is>
          <t>OTRO</t>
        </is>
      </c>
      <c r="D362" s="39" t="n">
        <v>68180</v>
      </c>
      <c r="E362" s="35" t="n"/>
    </row>
    <row r="363">
      <c r="A363" s="41" t="n">
        <v>46091</v>
      </c>
      <c r="B363" s="35" t="inlineStr">
        <is>
          <t>Pago haberes</t>
        </is>
      </c>
      <c r="C363" s="35" t="inlineStr">
        <is>
          <t>OTRO</t>
        </is>
      </c>
      <c r="D363" s="39" t="n">
        <v>63266</v>
      </c>
      <c r="E363" s="35" t="n"/>
    </row>
    <row r="364">
      <c r="A364" s="41" t="n">
        <v>46091</v>
      </c>
      <c r="B364" s="35" t="inlineStr">
        <is>
          <t>Pago haberes</t>
        </is>
      </c>
      <c r="C364" s="35" t="inlineStr">
        <is>
          <t>OTRO</t>
        </is>
      </c>
      <c r="D364" s="39" t="n">
        <v>72480</v>
      </c>
      <c r="E364" s="35" t="n"/>
    </row>
    <row r="365">
      <c r="A365" s="41" t="n">
        <v>46091</v>
      </c>
      <c r="B365" s="35" t="inlineStr">
        <is>
          <t>Pago haberes</t>
        </is>
      </c>
      <c r="C365" s="35" t="inlineStr">
        <is>
          <t>OTRO</t>
        </is>
      </c>
      <c r="D365" s="39" t="n">
        <v>68180</v>
      </c>
      <c r="E365" s="35" t="n"/>
    </row>
    <row r="366">
      <c r="A366" s="41" t="n">
        <v>46091</v>
      </c>
      <c r="B366" s="35" t="inlineStr">
        <is>
          <t>Pago haberes</t>
        </is>
      </c>
      <c r="C366" s="35" t="inlineStr">
        <is>
          <t>OTRO</t>
        </is>
      </c>
      <c r="D366" s="39" t="n">
        <v>65109</v>
      </c>
      <c r="E366" s="35" t="n"/>
    </row>
    <row r="367">
      <c r="A367" s="41" t="n">
        <v>46091</v>
      </c>
      <c r="B367" s="35" t="inlineStr">
        <is>
          <t>Pago haberes</t>
        </is>
      </c>
      <c r="C367" s="35" t="inlineStr">
        <is>
          <t>OTRO</t>
        </is>
      </c>
      <c r="D367" s="39" t="n">
        <v>66952</v>
      </c>
      <c r="E367" s="35" t="n"/>
    </row>
    <row r="368">
      <c r="A368" s="41" t="n">
        <v>46091</v>
      </c>
      <c r="B368" s="35" t="inlineStr">
        <is>
          <t>Pago haberes</t>
        </is>
      </c>
      <c r="C368" s="35" t="inlineStr">
        <is>
          <t>OTRO</t>
        </is>
      </c>
      <c r="D368" s="39" t="n">
        <v>63266</v>
      </c>
      <c r="E368" s="35" t="n"/>
    </row>
    <row r="369">
      <c r="A369" s="41" t="n">
        <v>46091</v>
      </c>
      <c r="B369" s="35" t="inlineStr">
        <is>
          <t>Pago haberes</t>
        </is>
      </c>
      <c r="C369" s="35" t="inlineStr">
        <is>
          <t>OTRO</t>
        </is>
      </c>
      <c r="D369" s="39" t="n">
        <v>67566</v>
      </c>
      <c r="E369" s="35" t="n"/>
    </row>
    <row r="370">
      <c r="A370" s="41" t="n">
        <v>46091</v>
      </c>
      <c r="B370" s="35" t="inlineStr">
        <is>
          <t>Pago haberes</t>
        </is>
      </c>
      <c r="C370" s="35" t="inlineStr">
        <is>
          <t>OTRO</t>
        </is>
      </c>
      <c r="D370" s="39" t="n">
        <v>62038</v>
      </c>
      <c r="E370" s="35" t="n"/>
    </row>
    <row r="371">
      <c r="A371" s="41" t="n">
        <v>46091</v>
      </c>
      <c r="B371" s="35" t="inlineStr">
        <is>
          <t>Pago haberes</t>
        </is>
      </c>
      <c r="C371" s="35" t="inlineStr">
        <is>
          <t>OTRO</t>
        </is>
      </c>
      <c r="D371" s="39" t="n">
        <v>70023</v>
      </c>
      <c r="E371" s="35" t="n"/>
    </row>
    <row r="372">
      <c r="A372" s="41" t="n">
        <v>46091</v>
      </c>
      <c r="B372" s="35" t="inlineStr">
        <is>
          <t>Pago haberes</t>
        </is>
      </c>
      <c r="C372" s="35" t="inlineStr">
        <is>
          <t>OTRO</t>
        </is>
      </c>
      <c r="D372" s="39" t="n">
        <v>73708</v>
      </c>
      <c r="E372" s="35" t="n"/>
    </row>
    <row r="373">
      <c r="A373" s="41" t="n">
        <v>46091</v>
      </c>
      <c r="B373" s="35" t="inlineStr">
        <is>
          <t>Pago haberes</t>
        </is>
      </c>
      <c r="C373" s="35" t="inlineStr">
        <is>
          <t>OTRO</t>
        </is>
      </c>
      <c r="D373" s="39" t="n">
        <v>18427</v>
      </c>
      <c r="E373" s="35" t="n"/>
    </row>
    <row r="374">
      <c r="A374" s="41" t="n">
        <v>46092</v>
      </c>
      <c r="B374" s="35" t="inlineStr">
        <is>
          <t>Pago comercios getnet nro.liq.</t>
        </is>
      </c>
      <c r="C374" s="35" t="inlineStr">
        <is>
          <t>OTRO</t>
        </is>
      </c>
      <c r="D374" s="35" t="n"/>
      <c r="E374" s="39" t="n">
        <v>306000.05</v>
      </c>
    </row>
    <row r="375">
      <c r="A375" s="41" t="n">
        <v>46093</v>
      </c>
      <c r="B375" s="35" t="inlineStr">
        <is>
          <t>Deposito echeq otro banco 48hs</t>
        </is>
      </c>
      <c r="C375" s="35" t="inlineStr">
        <is>
          <t>OTRO</t>
        </is>
      </c>
      <c r="D375" s="35" t="n"/>
      <c r="E375" s="39" t="n">
        <v>2222451.65</v>
      </c>
    </row>
    <row r="376">
      <c r="A376" s="41" t="n">
        <v>46093</v>
      </c>
      <c r="B376" s="35" t="inlineStr">
        <is>
          <t>Deposito e-cheq 48hs presencia bsr</t>
        </is>
      </c>
      <c r="C376" s="35" t="inlineStr">
        <is>
          <t>OTRO</t>
        </is>
      </c>
      <c r="D376" s="35" t="n"/>
      <c r="E376" s="39" t="n">
        <v>1979848.85</v>
      </c>
    </row>
    <row r="377">
      <c r="A377" s="41" t="n">
        <v>46097</v>
      </c>
      <c r="B377" s="35" t="inlineStr">
        <is>
          <t>Deposito echeq otro banco 48hs</t>
        </is>
      </c>
      <c r="C377" s="35" t="inlineStr">
        <is>
          <t>OTRO</t>
        </is>
      </c>
      <c r="D377" s="35" t="n"/>
      <c r="E377" s="39" t="n">
        <v>1272130.37</v>
      </c>
    </row>
    <row r="378">
      <c r="A378" s="41" t="n">
        <v>46099</v>
      </c>
      <c r="B378" s="35" t="inlineStr">
        <is>
          <t>Deposito e-cheq 48hs presencia bsr</t>
        </is>
      </c>
      <c r="C378" s="35" t="inlineStr">
        <is>
          <t>OTRO</t>
        </is>
      </c>
      <c r="D378" s="35" t="n"/>
      <c r="E378" s="39" t="n">
        <v>5924707.63</v>
      </c>
    </row>
    <row r="379">
      <c r="A379" s="41" t="n">
        <v>46100</v>
      </c>
      <c r="B379" s="35" t="inlineStr">
        <is>
          <t>Suscripcion fondos comunes invers</t>
        </is>
      </c>
      <c r="C379" s="35" t="inlineStr">
        <is>
          <t>OTRO</t>
        </is>
      </c>
      <c r="D379" s="39" t="n">
        <v>8000000</v>
      </c>
      <c r="E379" s="35" t="n"/>
    </row>
    <row r="380">
      <c r="A380" s="41" t="n">
        <v>46107</v>
      </c>
      <c r="B380" s="35" t="inlineStr">
        <is>
          <t>Deposito echeq otro banco 48hs</t>
        </is>
      </c>
      <c r="C380" s="35" t="inlineStr">
        <is>
          <t>OTRO</t>
        </is>
      </c>
      <c r="D380" s="35" t="n"/>
      <c r="E380" s="39" t="n">
        <v>2578525.25</v>
      </c>
    </row>
    <row r="381">
      <c r="A381" s="41" t="n">
        <v>46108</v>
      </c>
      <c r="B381" s="35" t="inlineStr">
        <is>
          <t>Suscripcion fondos comunes invers</t>
        </is>
      </c>
      <c r="C381" s="35" t="inlineStr">
        <is>
          <t>OTRO</t>
        </is>
      </c>
      <c r="D381" s="39" t="n">
        <v>9000000</v>
      </c>
      <c r="E381" s="35" t="n"/>
    </row>
    <row r="382">
      <c r="A382" s="41" t="n">
        <v>46112</v>
      </c>
      <c r="B382" s="35" t="inlineStr">
        <is>
          <t>Pago haberes</t>
        </is>
      </c>
      <c r="C382" s="35" t="inlineStr">
        <is>
          <t>OTRO</t>
        </is>
      </c>
      <c r="D382" s="39" t="n">
        <v>1549785</v>
      </c>
      <c r="E382" s="35" t="n"/>
    </row>
    <row r="383">
      <c r="A383" s="41" t="n">
        <v>46112</v>
      </c>
      <c r="B383" s="35" t="inlineStr">
        <is>
          <t>Pago haberes</t>
        </is>
      </c>
      <c r="C383" s="35" t="inlineStr">
        <is>
          <t>OTRO</t>
        </is>
      </c>
      <c r="D383" s="39" t="n">
        <v>2450000</v>
      </c>
      <c r="E383" s="35" t="n"/>
    </row>
    <row r="384">
      <c r="A384" s="41" t="n">
        <v>46112</v>
      </c>
      <c r="B384" s="35" t="inlineStr">
        <is>
          <t>Pago haberes</t>
        </is>
      </c>
      <c r="C384" s="35" t="inlineStr">
        <is>
          <t>OTRO</t>
        </is>
      </c>
      <c r="D384" s="39" t="n">
        <v>1500000</v>
      </c>
      <c r="E384" s="35" t="n"/>
    </row>
    <row r="385">
      <c r="A385" s="41" t="n">
        <v>46112</v>
      </c>
      <c r="B385" s="35" t="inlineStr">
        <is>
          <t>Pago haberes</t>
        </is>
      </c>
      <c r="C385" s="35" t="inlineStr">
        <is>
          <t>OTRO</t>
        </is>
      </c>
      <c r="D385" s="39" t="n">
        <v>1209582</v>
      </c>
      <c r="E385" s="35" t="n"/>
    </row>
    <row r="386">
      <c r="A386" s="41" t="n">
        <v>46112</v>
      </c>
      <c r="B386" s="35" t="inlineStr">
        <is>
          <t>Pago haberes</t>
        </is>
      </c>
      <c r="C386" s="35" t="inlineStr">
        <is>
          <t>OTRO</t>
        </is>
      </c>
      <c r="D386" s="39" t="n">
        <v>1396670</v>
      </c>
      <c r="E386" s="35" t="n"/>
    </row>
    <row r="387">
      <c r="A387" s="41" t="n">
        <v>46112</v>
      </c>
      <c r="B387" s="35" t="inlineStr">
        <is>
          <t>Pago haberes</t>
        </is>
      </c>
      <c r="C387" s="35" t="inlineStr">
        <is>
          <t>OTRO</t>
        </is>
      </c>
      <c r="D387" s="39" t="n">
        <v>1138576</v>
      </c>
      <c r="E387" s="35" t="n"/>
    </row>
    <row r="388">
      <c r="A388" s="41" t="n">
        <v>46112</v>
      </c>
      <c r="B388" s="35" t="inlineStr">
        <is>
          <t>Pago haberes</t>
        </is>
      </c>
      <c r="C388" s="35" t="inlineStr">
        <is>
          <t>OTRO</t>
        </is>
      </c>
      <c r="D388" s="39" t="n">
        <v>2502157</v>
      </c>
      <c r="E388" s="35" t="n"/>
    </row>
    <row r="389">
      <c r="A389" s="41" t="n">
        <v>46112</v>
      </c>
      <c r="B389" s="35" t="inlineStr">
        <is>
          <t>Pago haberes</t>
        </is>
      </c>
      <c r="C389" s="35" t="inlineStr">
        <is>
          <t>OTRO</t>
        </is>
      </c>
      <c r="D389" s="39" t="n">
        <v>1409610</v>
      </c>
      <c r="E389" s="35" t="n"/>
    </row>
    <row r="390">
      <c r="A390" s="41" t="n">
        <v>46112</v>
      </c>
      <c r="B390" s="35" t="inlineStr">
        <is>
          <t>Pago haberes</t>
        </is>
      </c>
      <c r="C390" s="35" t="inlineStr">
        <is>
          <t>OTRO</t>
        </is>
      </c>
      <c r="D390" s="39" t="n">
        <v>932782</v>
      </c>
      <c r="E390" s="35" t="n"/>
    </row>
    <row r="391">
      <c r="A391" s="41" t="n">
        <v>46112</v>
      </c>
      <c r="B391" s="35" t="inlineStr">
        <is>
          <t>Pago haberes</t>
        </is>
      </c>
      <c r="C391" s="35" t="inlineStr">
        <is>
          <t>OTRO</t>
        </is>
      </c>
      <c r="D391" s="39" t="n">
        <v>2500000</v>
      </c>
      <c r="E391" s="35" t="n"/>
    </row>
    <row r="392">
      <c r="A392" s="41" t="n">
        <v>46112</v>
      </c>
      <c r="B392" s="35" t="inlineStr">
        <is>
          <t>Pago haberes</t>
        </is>
      </c>
      <c r="C392" s="35" t="inlineStr">
        <is>
          <t>OTRO</t>
        </is>
      </c>
      <c r="D392" s="39" t="n">
        <v>1559691</v>
      </c>
      <c r="E392" s="35" t="n"/>
    </row>
    <row r="393">
      <c r="A393" s="41" t="n">
        <v>46112</v>
      </c>
      <c r="B393" s="35" t="inlineStr">
        <is>
          <t>Pago haberes</t>
        </is>
      </c>
      <c r="C393" s="35" t="inlineStr">
        <is>
          <t>OTRO</t>
        </is>
      </c>
      <c r="D393" s="39" t="n">
        <v>1558338</v>
      </c>
      <c r="E393" s="35" t="n"/>
    </row>
    <row r="394">
      <c r="A394" s="41" t="n">
        <v>46112</v>
      </c>
      <c r="B394" s="35" t="inlineStr">
        <is>
          <t>Pago haberes</t>
        </is>
      </c>
      <c r="C394" s="35" t="inlineStr">
        <is>
          <t>OTRO</t>
        </is>
      </c>
      <c r="D394" s="39" t="n">
        <v>1358204</v>
      </c>
      <c r="E394" s="35" t="n"/>
    </row>
    <row r="395">
      <c r="A395" s="41" t="n">
        <v>46112</v>
      </c>
      <c r="B395" s="35" t="inlineStr">
        <is>
          <t>Pago haberes</t>
        </is>
      </c>
      <c r="C395" s="35" t="inlineStr">
        <is>
          <t>OTRO</t>
        </is>
      </c>
      <c r="D395" s="39" t="n">
        <v>1550633</v>
      </c>
      <c r="E395" s="35" t="n"/>
    </row>
    <row r="396">
      <c r="A396" s="41" t="n">
        <v>46112</v>
      </c>
      <c r="B396" s="35" t="inlineStr">
        <is>
          <t>Pago haberes</t>
        </is>
      </c>
      <c r="C396" s="35" t="inlineStr">
        <is>
          <t>OTRO</t>
        </is>
      </c>
      <c r="D396" s="39" t="n">
        <v>2114000</v>
      </c>
      <c r="E396" s="35" t="n"/>
    </row>
    <row r="397">
      <c r="A397" s="41" t="n">
        <v>46112</v>
      </c>
      <c r="B397" s="35" t="inlineStr">
        <is>
          <t>Pago haberes</t>
        </is>
      </c>
      <c r="C397" s="35" t="inlineStr">
        <is>
          <t>OTRO</t>
        </is>
      </c>
      <c r="D397" s="39" t="n">
        <v>1500000</v>
      </c>
      <c r="E397" s="35" t="n"/>
    </row>
    <row r="398">
      <c r="A398" s="41" t="n">
        <v>46112</v>
      </c>
      <c r="B398" s="35" t="inlineStr">
        <is>
          <t>Pago haberes</t>
        </is>
      </c>
      <c r="C398" s="35" t="inlineStr">
        <is>
          <t>OTRO</t>
        </is>
      </c>
      <c r="D398" s="39" t="n">
        <v>1422877</v>
      </c>
      <c r="E398" s="35" t="n"/>
    </row>
    <row r="399">
      <c r="A399" s="41" t="n">
        <v>46112</v>
      </c>
      <c r="B399" s="35" t="inlineStr">
        <is>
          <t>Pago haberes</t>
        </is>
      </c>
      <c r="C399" s="35" t="inlineStr">
        <is>
          <t>OTRO</t>
        </is>
      </c>
      <c r="D399" s="39" t="n">
        <v>2035977</v>
      </c>
      <c r="E399" s="35" t="n"/>
    </row>
    <row r="400">
      <c r="A400" s="41" t="n">
        <v>46112</v>
      </c>
      <c r="B400" s="35" t="inlineStr">
        <is>
          <t>Pago haberes</t>
        </is>
      </c>
      <c r="C400" s="35" t="inlineStr">
        <is>
          <t>OTRO</t>
        </is>
      </c>
      <c r="D400" s="39" t="n">
        <v>1412040</v>
      </c>
      <c r="E400" s="35" t="n"/>
    </row>
    <row r="401">
      <c r="A401" s="41" t="n">
        <v>46112</v>
      </c>
      <c r="B401" s="35" t="inlineStr">
        <is>
          <t>Pago haberes</t>
        </is>
      </c>
      <c r="C401" s="35" t="inlineStr">
        <is>
          <t>OTRO</t>
        </is>
      </c>
      <c r="D401" s="39" t="n">
        <v>1711438</v>
      </c>
      <c r="E401" s="35" t="n"/>
    </row>
    <row r="402">
      <c r="A402" s="41" t="n">
        <v>46112</v>
      </c>
      <c r="B402" s="35" t="inlineStr">
        <is>
          <t>Pago haberes</t>
        </is>
      </c>
      <c r="C402" s="35" t="inlineStr">
        <is>
          <t>OTRO</t>
        </is>
      </c>
      <c r="D402" s="39" t="n">
        <v>2500000</v>
      </c>
      <c r="E402" s="35" t="n"/>
    </row>
    <row r="403">
      <c r="A403" s="41" t="n">
        <v>46112</v>
      </c>
      <c r="B403" s="35" t="inlineStr">
        <is>
          <t>Pago haberes</t>
        </is>
      </c>
      <c r="C403" s="35" t="inlineStr">
        <is>
          <t>OTRO</t>
        </is>
      </c>
      <c r="D403" s="39" t="n">
        <v>1373064</v>
      </c>
      <c r="E403" s="35" t="n"/>
    </row>
    <row r="404">
      <c r="A404" s="41" t="n">
        <v>46112</v>
      </c>
      <c r="B404" s="35" t="inlineStr">
        <is>
          <t>Pago haberes</t>
        </is>
      </c>
      <c r="C404" s="35" t="inlineStr">
        <is>
          <t>OTRO</t>
        </is>
      </c>
      <c r="D404" s="39" t="n">
        <v>1489589</v>
      </c>
      <c r="E404" s="35" t="n"/>
    </row>
    <row r="405">
      <c r="A405" s="41" t="n">
        <v>46112</v>
      </c>
      <c r="B405" s="35" t="inlineStr">
        <is>
          <t>Pago haberes</t>
        </is>
      </c>
      <c r="C405" s="35" t="inlineStr">
        <is>
          <t>OTRO</t>
        </is>
      </c>
      <c r="D405" s="39" t="n">
        <v>1518181</v>
      </c>
      <c r="E405" s="35" t="n"/>
    </row>
    <row r="406">
      <c r="A406" s="41" t="n">
        <v>46112</v>
      </c>
      <c r="B406" s="35" t="inlineStr">
        <is>
          <t>Pago haberes</t>
        </is>
      </c>
      <c r="C406" s="35" t="inlineStr">
        <is>
          <t>OTRO</t>
        </is>
      </c>
      <c r="D406" s="39" t="n">
        <v>2000000</v>
      </c>
      <c r="E406" s="35" t="n"/>
    </row>
    <row r="407">
      <c r="A407" s="41" t="n">
        <v>46112</v>
      </c>
      <c r="B407" s="35" t="inlineStr">
        <is>
          <t>Pago haberes</t>
        </is>
      </c>
      <c r="C407" s="35" t="inlineStr">
        <is>
          <t>OTRO</t>
        </is>
      </c>
      <c r="D407" s="39" t="n">
        <v>291284</v>
      </c>
      <c r="E407" s="35" t="n"/>
    </row>
    <row r="408">
      <c r="A408" s="41" t="n">
        <v>46112</v>
      </c>
      <c r="B408" s="35" t="inlineStr">
        <is>
          <t>Pago haberes</t>
        </is>
      </c>
      <c r="C408" s="35" t="inlineStr">
        <is>
          <t>OTRO</t>
        </is>
      </c>
      <c r="D408" s="39" t="n">
        <v>1500000</v>
      </c>
      <c r="E408" s="35" t="n"/>
    </row>
    <row r="409">
      <c r="A409" s="41" t="n">
        <v>46112</v>
      </c>
      <c r="B409" s="35" t="inlineStr">
        <is>
          <t>Pago haberes</t>
        </is>
      </c>
      <c r="C409" s="35" t="inlineStr">
        <is>
          <t>OTRO</t>
        </is>
      </c>
      <c r="D409" s="39" t="n">
        <v>1028643</v>
      </c>
      <c r="E409" s="35" t="n"/>
    </row>
    <row r="410">
      <c r="A410" s="41" t="n">
        <v>46112</v>
      </c>
      <c r="B410" s="35" t="inlineStr">
        <is>
          <t>Pago haberes</t>
        </is>
      </c>
      <c r="C410" s="35" t="inlineStr">
        <is>
          <t>OTRO</t>
        </is>
      </c>
      <c r="D410" s="39" t="n">
        <v>1167855</v>
      </c>
      <c r="E410" s="35" t="n"/>
    </row>
    <row r="411">
      <c r="A411" s="41" t="n">
        <v>46112</v>
      </c>
      <c r="B411" s="35" t="inlineStr">
        <is>
          <t>Pago haberes</t>
        </is>
      </c>
      <c r="C411" s="35" t="inlineStr">
        <is>
          <t>OTRO</t>
        </is>
      </c>
      <c r="D411" s="39" t="n">
        <v>1219443</v>
      </c>
      <c r="E411" s="35" t="n"/>
    </row>
    <row r="412">
      <c r="A412" s="41" t="n">
        <v>46112</v>
      </c>
      <c r="B412" s="35" t="inlineStr">
        <is>
          <t>Pago haberes</t>
        </is>
      </c>
      <c r="C412" s="35" t="inlineStr">
        <is>
          <t>OTRO</t>
        </is>
      </c>
      <c r="D412" s="39" t="n">
        <v>1422877</v>
      </c>
      <c r="E412" s="35" t="n"/>
    </row>
    <row r="413">
      <c r="A413" s="41" t="n">
        <v>46112</v>
      </c>
      <c r="B413" s="35" t="inlineStr">
        <is>
          <t>Pago haberes</t>
        </is>
      </c>
      <c r="C413" s="35" t="inlineStr">
        <is>
          <t>OTRO</t>
        </is>
      </c>
      <c r="D413" s="39" t="n">
        <v>1432964</v>
      </c>
      <c r="E413" s="35" t="n"/>
    </row>
    <row r="414">
      <c r="A414" s="41" t="n">
        <v>46112</v>
      </c>
      <c r="B414" s="35" t="inlineStr">
        <is>
          <t>Pago haberes</t>
        </is>
      </c>
      <c r="C414" s="35" t="inlineStr">
        <is>
          <t>OTRO</t>
        </is>
      </c>
      <c r="D414" s="39" t="n">
        <v>1432336</v>
      </c>
      <c r="E414" s="35" t="n"/>
    </row>
    <row r="415">
      <c r="A415" s="41" t="n">
        <v>46112</v>
      </c>
      <c r="B415" s="35" t="inlineStr">
        <is>
          <t>Pago de honorarios</t>
        </is>
      </c>
      <c r="C415" s="35" t="inlineStr">
        <is>
          <t>HABERES</t>
        </is>
      </c>
      <c r="D415" s="39" t="n">
        <v>2000000</v>
      </c>
      <c r="E415" s="35" t="n"/>
    </row>
    <row r="416">
      <c r="A416" s="28" t="inlineStr">
        <is>
          <t>TOTAL SOLO EN BANCO</t>
        </is>
      </c>
      <c r="B416" s="27" t="n"/>
      <c r="C416" s="27" t="n"/>
      <c r="D416" s="24">
        <f>SUM(D337:D415)</f>
        <v/>
      </c>
      <c r="E416" s="24">
        <f>SUM(E337:E415)</f>
        <v/>
      </c>
    </row>
    <row r="417">
      <c r="C417" s="28" t="inlineStr">
        <is>
          <t>Control</t>
        </is>
      </c>
      <c r="D417" s="42">
        <f>D416</f>
        <v/>
      </c>
      <c r="E417" s="42">
        <f>E416</f>
        <v/>
      </c>
      <c r="F417" s="24">
        <f>D416-E416</f>
        <v/>
      </c>
      <c r="G417" s="12" t="inlineStr">
        <is>
          <t>* tiene que ser 0</t>
        </is>
      </c>
    </row>
    <row r="419">
      <c r="A419" s="40" t="inlineStr">
        <is>
          <t>SOLO EN SISTEMA (28 movimientos sin match)</t>
        </is>
      </c>
    </row>
    <row r="420">
      <c r="A420" s="25" t="inlineStr">
        <is>
          <t>Fecha</t>
        </is>
      </c>
      <c r="B420" s="25" t="inlineStr">
        <is>
          <t>Ref.</t>
        </is>
      </c>
      <c r="C420" s="25" t="inlineStr">
        <is>
          <t>Concepto</t>
        </is>
      </c>
      <c r="D420" s="25" t="inlineStr">
        <is>
          <t>Debe</t>
        </is>
      </c>
      <c r="E420" s="25" t="inlineStr">
        <is>
          <t>Haber</t>
        </is>
      </c>
      <c r="F420" s="25" t="inlineStr"/>
      <c r="G420" s="25" t="inlineStr"/>
      <c r="H420" s="25" t="inlineStr"/>
    </row>
    <row r="421">
      <c r="A421" s="41" t="n">
        <v>46083</v>
      </c>
      <c r="B421" s="35" t="inlineStr">
        <is>
          <t>MOVFONDOS - 7299</t>
        </is>
      </c>
      <c r="C421" s="35" t="inlineStr">
        <is>
          <t>Banco Santander Cta Cte $</t>
        </is>
      </c>
      <c r="D421" s="39" t="n">
        <v>3934033.17</v>
      </c>
      <c r="E421" s="35" t="n"/>
    </row>
    <row r="422">
      <c r="A422" s="41" t="n">
        <v>46083</v>
      </c>
      <c r="B422" s="35" t="inlineStr">
        <is>
          <t>MOVFONDOS - 7299</t>
        </is>
      </c>
      <c r="C422" s="35" t="inlineStr">
        <is>
          <t>Banco Santander Cta Cte $</t>
        </is>
      </c>
      <c r="D422" s="39" t="n">
        <v>697104.87</v>
      </c>
      <c r="E422" s="35" t="n"/>
    </row>
    <row r="423">
      <c r="A423" s="41" t="n">
        <v>46083</v>
      </c>
      <c r="B423" s="35" t="inlineStr">
        <is>
          <t>MOVFONDOS - 7299</t>
        </is>
      </c>
      <c r="C423" s="35" t="inlineStr">
        <is>
          <t>Banco Santander Cta Cte $</t>
        </is>
      </c>
      <c r="D423" s="39" t="n">
        <v>364258.4</v>
      </c>
      <c r="E423" s="35" t="n"/>
    </row>
    <row r="424">
      <c r="A424" s="41" t="n">
        <v>46083</v>
      </c>
      <c r="B424" s="35" t="inlineStr">
        <is>
          <t>MOVFONDOS - 7299</t>
        </is>
      </c>
      <c r="C424" s="35" t="inlineStr">
        <is>
          <t>Banco Santander Cta Cte $</t>
        </is>
      </c>
      <c r="D424" s="39" t="n">
        <v>1697201.52</v>
      </c>
      <c r="E424" s="35" t="n"/>
    </row>
    <row r="425">
      <c r="A425" s="41" t="n">
        <v>46083</v>
      </c>
      <c r="B425" s="35" t="inlineStr">
        <is>
          <t>MOVFONDOS - 7299</t>
        </is>
      </c>
      <c r="C425" s="35" t="inlineStr">
        <is>
          <t>Banco Santander Cta Cte $</t>
        </is>
      </c>
      <c r="D425" s="39" t="n">
        <v>798935.85</v>
      </c>
      <c r="E425" s="35" t="n"/>
    </row>
    <row r="426">
      <c r="A426" s="41" t="n">
        <v>46090</v>
      </c>
      <c r="B426" s="35" t="inlineStr">
        <is>
          <t>MOVFONDOS - 7382</t>
        </is>
      </c>
      <c r="C426" s="35" t="inlineStr">
        <is>
          <t>Banco Santander Cta Cte $</t>
        </is>
      </c>
      <c r="D426" s="39" t="n">
        <v>30033.72</v>
      </c>
      <c r="E426" s="35" t="n"/>
    </row>
    <row r="427">
      <c r="A427" s="41" t="n">
        <v>46090</v>
      </c>
      <c r="B427" s="35" t="inlineStr">
        <is>
          <t>MOVFONDOS - 7382</t>
        </is>
      </c>
      <c r="C427" s="35" t="inlineStr">
        <is>
          <t>Banco Santander Cta Cte $</t>
        </is>
      </c>
      <c r="D427" s="39" t="n">
        <v>195527.71</v>
      </c>
      <c r="E427" s="35" t="n"/>
    </row>
    <row r="428">
      <c r="A428" s="41" t="n">
        <v>46091</v>
      </c>
      <c r="B428" s="35" t="inlineStr">
        <is>
          <t>MOVFONDOS - 7428</t>
        </is>
      </c>
      <c r="C428" s="35" t="inlineStr">
        <is>
          <t>Banco Santander Cta Cte $</t>
        </is>
      </c>
      <c r="D428" s="35" t="n"/>
      <c r="E428" s="39" t="n">
        <v>1487064</v>
      </c>
    </row>
    <row r="429">
      <c r="A429" s="41" t="n">
        <v>46092</v>
      </c>
      <c r="B429" s="35" t="inlineStr">
        <is>
          <t>MOVFONDOS - 7454</t>
        </is>
      </c>
      <c r="C429" s="35" t="inlineStr">
        <is>
          <t>Banco Santander Cta Cte $</t>
        </is>
      </c>
      <c r="D429" s="39" t="n">
        <v>67325.35000000001</v>
      </c>
      <c r="E429" s="35" t="n"/>
    </row>
    <row r="430">
      <c r="A430" s="41" t="n">
        <v>46092</v>
      </c>
      <c r="B430" s="35" t="inlineStr">
        <is>
          <t>MOVFONDOS - 7454</t>
        </is>
      </c>
      <c r="C430" s="35" t="inlineStr">
        <is>
          <t>Banco Santander Cta Cte $</t>
        </is>
      </c>
      <c r="D430" s="39" t="n">
        <v>398540</v>
      </c>
      <c r="E430" s="35" t="n"/>
    </row>
    <row r="431">
      <c r="A431" s="41" t="n">
        <v>46092</v>
      </c>
      <c r="B431" s="35" t="inlineStr">
        <is>
          <t>MOVFONDOS - 7454</t>
        </is>
      </c>
      <c r="C431" s="35" t="inlineStr">
        <is>
          <t>Banco Santander Cta Cte $</t>
        </is>
      </c>
      <c r="D431" s="39" t="n">
        <v>1061307.1</v>
      </c>
      <c r="E431" s="35" t="n"/>
    </row>
    <row r="432">
      <c r="A432" s="41" t="n">
        <v>46092</v>
      </c>
      <c r="B432" s="35" t="inlineStr">
        <is>
          <t>MOVFONDOS - 7454</t>
        </is>
      </c>
      <c r="C432" s="35" t="inlineStr">
        <is>
          <t>Banco Santander Cta Cte $</t>
        </is>
      </c>
      <c r="D432" s="39" t="n">
        <v>520001.75</v>
      </c>
      <c r="E432" s="35" t="n"/>
    </row>
    <row r="433">
      <c r="A433" s="41" t="n">
        <v>46092</v>
      </c>
      <c r="B433" s="35" t="inlineStr">
        <is>
          <t>MOVFONDOS - 7454</t>
        </is>
      </c>
      <c r="C433" s="35" t="inlineStr">
        <is>
          <t>Banco Santander Cta Cte $</t>
        </is>
      </c>
      <c r="D433" s="39" t="n">
        <v>80789.89999999999</v>
      </c>
      <c r="E433" s="35" t="n"/>
    </row>
    <row r="434">
      <c r="A434" s="41" t="n">
        <v>46092</v>
      </c>
      <c r="B434" s="35" t="inlineStr">
        <is>
          <t>MOVFONDOS - 7454</t>
        </is>
      </c>
      <c r="C434" s="35" t="inlineStr">
        <is>
          <t>Banco Santander Cta Cte $</t>
        </is>
      </c>
      <c r="D434" s="39" t="n">
        <v>629304.9</v>
      </c>
      <c r="E434" s="35" t="n"/>
    </row>
    <row r="435">
      <c r="A435" s="41" t="n">
        <v>46092</v>
      </c>
      <c r="B435" s="35" t="inlineStr">
        <is>
          <t>MOVFONDOS - 7454</t>
        </is>
      </c>
      <c r="C435" s="35" t="inlineStr">
        <is>
          <t>Banco Santander Cta Cte $</t>
        </is>
      </c>
      <c r="D435" s="39" t="n">
        <v>1445031.5</v>
      </c>
      <c r="E435" s="35" t="n"/>
    </row>
    <row r="436">
      <c r="A436" s="41" t="n">
        <v>46094</v>
      </c>
      <c r="B436" s="35" t="inlineStr">
        <is>
          <t>MOVFONDOS - 7496</t>
        </is>
      </c>
      <c r="C436" s="35" t="inlineStr">
        <is>
          <t>Banco Santander Cta Cte $</t>
        </is>
      </c>
      <c r="D436" s="39" t="n">
        <v>204941.66</v>
      </c>
      <c r="E436" s="35" t="n"/>
    </row>
    <row r="437">
      <c r="A437" s="41" t="n">
        <v>46094</v>
      </c>
      <c r="B437" s="35" t="inlineStr">
        <is>
          <t>MOVFONDOS - 7496</t>
        </is>
      </c>
      <c r="C437" s="35" t="inlineStr">
        <is>
          <t>Banco Santander Cta Cte $</t>
        </is>
      </c>
      <c r="D437" s="39" t="n">
        <v>1036888</v>
      </c>
      <c r="E437" s="35" t="n"/>
    </row>
    <row r="438">
      <c r="A438" s="41" t="n">
        <v>46094</v>
      </c>
      <c r="B438" s="35" t="inlineStr">
        <is>
          <t>MOVFONDOS - 7496</t>
        </is>
      </c>
      <c r="C438" s="35" t="inlineStr">
        <is>
          <t>Banco Santander Cta Cte $</t>
        </is>
      </c>
      <c r="D438" s="39" t="n">
        <v>30300.71</v>
      </c>
      <c r="E438" s="35" t="n"/>
    </row>
    <row r="439">
      <c r="A439" s="41" t="n">
        <v>46098</v>
      </c>
      <c r="B439" s="35" t="inlineStr">
        <is>
          <t>MOVFONDOS - 7525</t>
        </is>
      </c>
      <c r="C439" s="35" t="inlineStr">
        <is>
          <t>Banco Santander Cta Cte $</t>
        </is>
      </c>
      <c r="D439" s="39" t="n">
        <v>747851.08</v>
      </c>
      <c r="E439" s="35" t="n"/>
    </row>
    <row r="440">
      <c r="A440" s="41" t="n">
        <v>46098</v>
      </c>
      <c r="B440" s="35" t="inlineStr">
        <is>
          <t>MOVFONDOS - 7592</t>
        </is>
      </c>
      <c r="C440" s="35" t="inlineStr">
        <is>
          <t>Banco Santander Cta Cte $</t>
        </is>
      </c>
      <c r="D440" s="39" t="n">
        <v>5126856.55</v>
      </c>
      <c r="E440" s="35" t="n"/>
    </row>
    <row r="441">
      <c r="A441" s="41" t="n">
        <v>46098</v>
      </c>
      <c r="B441" s="35" t="inlineStr">
        <is>
          <t>MOVFONDOS - 7747</t>
        </is>
      </c>
      <c r="C441" s="35" t="inlineStr">
        <is>
          <t>Banco Santander Cta Cte $</t>
        </is>
      </c>
      <c r="D441" s="39" t="n">
        <v>50000</v>
      </c>
      <c r="E441" s="35" t="n"/>
    </row>
    <row r="442">
      <c r="A442" s="41" t="n">
        <v>46104</v>
      </c>
      <c r="B442" s="35" t="inlineStr">
        <is>
          <t>MOVFONDOS - 7591</t>
        </is>
      </c>
      <c r="C442" s="35" t="inlineStr">
        <is>
          <t>Banco Santander Cta Cte $</t>
        </is>
      </c>
      <c r="D442" s="39" t="n">
        <v>1932989.05</v>
      </c>
      <c r="E442" s="35" t="n"/>
    </row>
    <row r="443">
      <c r="A443" s="41" t="n">
        <v>46112</v>
      </c>
      <c r="B443" s="35" t="inlineStr">
        <is>
          <t>MOVFONDOS - 7685</t>
        </is>
      </c>
      <c r="C443" s="35" t="inlineStr">
        <is>
          <t>Banco Santander Cta Cte $</t>
        </is>
      </c>
      <c r="D443" s="35" t="n"/>
      <c r="E443" s="39" t="n">
        <v>1000000</v>
      </c>
    </row>
    <row r="444">
      <c r="A444" s="41" t="n">
        <v>46112</v>
      </c>
      <c r="B444" s="35" t="inlineStr">
        <is>
          <t>MOVFONDOS - 7689</t>
        </is>
      </c>
      <c r="C444" s="35" t="inlineStr">
        <is>
          <t>Banco Santander Cta Cte $</t>
        </is>
      </c>
      <c r="D444" s="35" t="n"/>
      <c r="E444" s="39" t="n">
        <v>51188596</v>
      </c>
    </row>
    <row r="445">
      <c r="A445" s="41" t="n">
        <v>46112</v>
      </c>
      <c r="B445" s="35" t="inlineStr">
        <is>
          <t>MOVFONDOS - 7696</t>
        </is>
      </c>
      <c r="C445" s="35" t="inlineStr">
        <is>
          <t>Banco Santander Cta Cte $</t>
        </is>
      </c>
      <c r="D445" s="39" t="n">
        <v>1000000</v>
      </c>
      <c r="E445" s="35" t="n"/>
    </row>
    <row r="446">
      <c r="A446" s="41" t="n">
        <v>46112</v>
      </c>
      <c r="B446" s="35" t="inlineStr">
        <is>
          <t>MOVFONDOS - 7699</t>
        </is>
      </c>
      <c r="C446" s="35" t="inlineStr">
        <is>
          <t>Banco Santander Cta Cte $</t>
        </is>
      </c>
      <c r="D446" s="39" t="n">
        <v>1149745.59</v>
      </c>
      <c r="E446" s="35" t="n"/>
    </row>
    <row r="447">
      <c r="A447" s="41" t="n">
        <v>46112</v>
      </c>
      <c r="B447" s="35" t="inlineStr">
        <is>
          <t>MOVFONDOS - 7700</t>
        </is>
      </c>
      <c r="C447" s="35" t="inlineStr">
        <is>
          <t>Banco Santander Cta Cte $</t>
        </is>
      </c>
      <c r="D447" s="39" t="n">
        <v>645536.2</v>
      </c>
      <c r="E447" s="35" t="n"/>
    </row>
    <row r="448">
      <c r="A448" s="41" t="n">
        <v>46112</v>
      </c>
      <c r="B448" s="35" t="inlineStr">
        <is>
          <t>RESBANC - 220</t>
        </is>
      </c>
      <c r="C448" s="35" t="inlineStr">
        <is>
          <t>Banco Santander Cta Cte $</t>
        </is>
      </c>
      <c r="D448" s="35" t="n"/>
      <c r="E448" s="39" t="n">
        <v>5728785.35</v>
      </c>
    </row>
    <row r="449">
      <c r="A449" s="27" t="n"/>
      <c r="B449" s="27" t="n"/>
      <c r="C449" s="28" t="inlineStr">
        <is>
          <t>TOTALES</t>
        </is>
      </c>
      <c r="D449" s="24">
        <f>SUM(D421:D448)</f>
        <v/>
      </c>
      <c r="E449" s="24">
        <f>SUM(E421:E448)</f>
        <v/>
      </c>
    </row>
  </sheetData>
  <mergeCells count="2">
    <mergeCell ref="A3:M3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8" customWidth="1" min="3" max="3"/>
    <col width="18" customWidth="1" min="4" max="4"/>
    <col width="18" customWidth="1" min="5" max="5"/>
  </cols>
  <sheetData>
    <row r="1">
      <c r="A1" s="22" t="inlineStr">
        <is>
          <t>AGRUPACIÓN TOTAL POR CONCEPTOS BANCARIOS - Mar2026</t>
        </is>
      </c>
    </row>
    <row r="3">
      <c r="A3" s="25" t="inlineStr">
        <is>
          <t>Tipo Clasificación</t>
        </is>
      </c>
      <c r="B3" s="25" t="inlineStr">
        <is>
          <t>Concepto Exacto</t>
        </is>
      </c>
      <c r="C3" s="25" t="inlineStr">
        <is>
          <t>Cant.</t>
        </is>
      </c>
      <c r="D3" s="25" t="inlineStr">
        <is>
          <t>Total Débitos</t>
        </is>
      </c>
      <c r="E3" s="25" t="inlineStr">
        <is>
          <t>Total Créditos</t>
        </is>
      </c>
    </row>
    <row r="4">
      <c r="A4" s="17" t="inlineStr">
        <is>
          <t>COMISION</t>
        </is>
      </c>
      <c r="B4" s="17" t="inlineStr">
        <is>
          <t>COMISION COMPENSACION CHEQUES CFU</t>
        </is>
      </c>
      <c r="C4" s="43" t="n">
        <v>8</v>
      </c>
      <c r="D4" s="18" t="n">
        <v>116164.83</v>
      </c>
      <c r="E4" s="18" t="n">
        <v>0</v>
      </c>
    </row>
    <row r="5">
      <c r="A5" s="17" t="inlineStr">
        <is>
          <t>COMISION</t>
        </is>
      </c>
      <c r="B5" s="17" t="inlineStr">
        <is>
          <t>COMISION POR SERVICIO DE CUENTA</t>
        </is>
      </c>
      <c r="C5" s="43" t="n">
        <v>1</v>
      </c>
      <c r="D5" s="18" t="n">
        <v>57500</v>
      </c>
      <c r="E5" s="18" t="n">
        <v>0</v>
      </c>
    </row>
    <row r="6">
      <c r="A6" s="17" t="inlineStr">
        <is>
          <t>COMISION</t>
        </is>
      </c>
      <c r="B6" s="17" t="inlineStr">
        <is>
          <t>COMISION TRANSF OTROS BCOS CANALES</t>
        </is>
      </c>
      <c r="C6" s="43" t="n">
        <v>49</v>
      </c>
      <c r="D6" s="18" t="n">
        <v>51585</v>
      </c>
      <c r="E6" s="18" t="n">
        <v>0</v>
      </c>
    </row>
    <row r="7">
      <c r="A7" s="17" t="inlineStr">
        <is>
          <t>COMISION</t>
        </is>
      </c>
      <c r="B7" s="17" t="inlineStr">
        <is>
          <t>COMISION SERVICIO CUENTA DOLARES</t>
        </is>
      </c>
      <c r="C7" s="43" t="n">
        <v>1</v>
      </c>
      <c r="D7" s="18" t="n">
        <v>13825</v>
      </c>
      <c r="E7" s="18" t="n">
        <v>0</v>
      </c>
    </row>
    <row r="8">
      <c r="A8" s="17" t="inlineStr">
        <is>
          <t>DEB_AUTOMATICO</t>
        </is>
      </c>
      <c r="B8" s="17" t="inlineStr">
        <is>
          <t>DEBITO AUTOMATICO</t>
        </is>
      </c>
      <c r="C8" s="43" t="n">
        <v>14</v>
      </c>
      <c r="D8" s="18" t="n">
        <v>6815769.23</v>
      </c>
      <c r="E8" s="18" t="n">
        <v>0</v>
      </c>
    </row>
    <row r="9">
      <c r="A9" s="17" t="inlineStr">
        <is>
          <t>HABERES</t>
        </is>
      </c>
      <c r="B9" s="17" t="inlineStr">
        <is>
          <t>PAGO DE HONORARIOS</t>
        </is>
      </c>
      <c r="C9" s="43" t="n">
        <v>4</v>
      </c>
      <c r="D9" s="18" t="n">
        <v>6709500</v>
      </c>
      <c r="E9" s="18" t="n">
        <v>0</v>
      </c>
    </row>
    <row r="10">
      <c r="A10" s="17" t="inlineStr">
        <is>
          <t>IVA</t>
        </is>
      </c>
      <c r="B10" s="17" t="inlineStr">
        <is>
          <t>IVA 21% REG DE TRANSFISC LEY27743</t>
        </is>
      </c>
      <c r="C10" s="43" t="n">
        <v>59</v>
      </c>
      <c r="D10" s="18" t="n">
        <v>50205.7</v>
      </c>
      <c r="E10" s="18" t="n">
        <v>0</v>
      </c>
    </row>
    <row r="11">
      <c r="A11" s="17" t="inlineStr">
        <is>
          <t>IVA</t>
        </is>
      </c>
      <c r="B11" s="17" t="inlineStr">
        <is>
          <t>IVA PERCEPCION RG 2408</t>
        </is>
      </c>
      <c r="C11" s="43" t="n">
        <v>10</v>
      </c>
      <c r="D11" s="18" t="n">
        <v>5624.690000000001</v>
      </c>
      <c r="E11" s="18" t="n">
        <v>0</v>
      </c>
    </row>
    <row r="12">
      <c r="A12" s="17" t="inlineStr">
        <is>
          <t>LEY25413_CREDITO</t>
        </is>
      </c>
      <c r="B12" s="17" t="inlineStr">
        <is>
          <t>IMPUESTO LEY 25.413 CREDITO 0,6%</t>
        </is>
      </c>
      <c r="C12" s="43" t="n">
        <v>23</v>
      </c>
      <c r="D12" s="18" t="n">
        <v>1420037.56</v>
      </c>
      <c r="E12" s="18" t="n">
        <v>0</v>
      </c>
    </row>
    <row r="13">
      <c r="A13" s="17" t="inlineStr">
        <is>
          <t>LEY25413_DEBITO</t>
        </is>
      </c>
      <c r="B13" s="17" t="inlineStr">
        <is>
          <t>IMPUESTO LEY 25.413 DEBITO 0,6%</t>
        </is>
      </c>
      <c r="C13" s="43" t="n">
        <v>21</v>
      </c>
      <c r="D13" s="18" t="n">
        <v>985573.8200000001</v>
      </c>
      <c r="E13" s="18" t="n">
        <v>0</v>
      </c>
    </row>
    <row r="14">
      <c r="A14" s="17" t="inlineStr">
        <is>
          <t>OTRO</t>
        </is>
      </c>
      <c r="B14" s="17" t="inlineStr">
        <is>
          <t>SUSCRIPCION FONDOS COMUNES INVERS</t>
        </is>
      </c>
      <c r="C14" s="43" t="n">
        <v>16</v>
      </c>
      <c r="D14" s="18" t="n">
        <v>110500000</v>
      </c>
      <c r="E14" s="18" t="n">
        <v>110000000</v>
      </c>
    </row>
    <row r="15">
      <c r="A15" s="17" t="inlineStr">
        <is>
          <t>OTRO</t>
        </is>
      </c>
      <c r="B15" s="17" t="inlineStr">
        <is>
          <t>TRANSFERENCIA POR SISTEMA MEP</t>
        </is>
      </c>
      <c r="C15" s="43" t="n">
        <v>1</v>
      </c>
      <c r="D15" s="18" t="n">
        <v>100000000</v>
      </c>
      <c r="E15" s="18" t="n">
        <v>0</v>
      </c>
    </row>
    <row r="16">
      <c r="A16" s="17" t="inlineStr">
        <is>
          <t>OTRO</t>
        </is>
      </c>
      <c r="B16" s="17" t="inlineStr">
        <is>
          <t>RESCATE FONDOS COMUNES INVERSION</t>
        </is>
      </c>
      <c r="C16" s="43" t="n">
        <v>4</v>
      </c>
      <c r="D16" s="18" t="n">
        <v>95102999.77</v>
      </c>
      <c r="E16" s="18" t="n">
        <v>70999999.99000001</v>
      </c>
    </row>
    <row r="17">
      <c r="A17" s="17" t="inlineStr">
        <is>
          <t>OTRO</t>
        </is>
      </c>
      <c r="B17" s="17" t="inlineStr">
        <is>
          <t>PAGO HABERES</t>
        </is>
      </c>
      <c r="C17" s="43" t="n">
        <v>56</v>
      </c>
      <c r="D17" s="18" t="n">
        <v>52675660</v>
      </c>
      <c r="E17" s="18" t="n">
        <v>0</v>
      </c>
    </row>
    <row r="18">
      <c r="A18" s="17" t="inlineStr">
        <is>
          <t>OTRO</t>
        </is>
      </c>
      <c r="B18" s="17" t="inlineStr">
        <is>
          <t>TRANSFERENCIA REALIZADA</t>
        </is>
      </c>
      <c r="C18" s="43" t="n">
        <v>63</v>
      </c>
      <c r="D18" s="18" t="n">
        <v>48831898</v>
      </c>
      <c r="E18" s="18" t="n">
        <v>5638207.23</v>
      </c>
    </row>
    <row r="19">
      <c r="A19" s="17" t="inlineStr">
        <is>
          <t>OTRO</t>
        </is>
      </c>
      <c r="B19" s="17" t="inlineStr">
        <is>
          <t>DEBITO TRANSF. ONLINE BANKING EMP</t>
        </is>
      </c>
      <c r="C19" s="43" t="n">
        <v>17</v>
      </c>
      <c r="D19" s="18" t="n">
        <v>4817681.45</v>
      </c>
      <c r="E19" s="18" t="n">
        <v>1443998.98</v>
      </c>
    </row>
    <row r="20">
      <c r="A20" s="17" t="inlineStr">
        <is>
          <t>OTRO</t>
        </is>
      </c>
      <c r="B20" s="17" t="inlineStr">
        <is>
          <t>PAGO DE SERVICIOS</t>
        </is>
      </c>
      <c r="C20" s="43" t="n">
        <v>10</v>
      </c>
      <c r="D20" s="18" t="n">
        <v>3876871.72</v>
      </c>
      <c r="E20" s="18" t="n">
        <v>29201896.54</v>
      </c>
    </row>
    <row r="21">
      <c r="A21" s="17" t="inlineStr">
        <is>
          <t>OTRO</t>
        </is>
      </c>
      <c r="B21" s="17" t="inlineStr">
        <is>
          <t>PAGO A PROVEEDORES RECIBIDO</t>
        </is>
      </c>
      <c r="C21" s="43" t="n">
        <v>47</v>
      </c>
      <c r="D21" s="18" t="n">
        <v>3363857.27</v>
      </c>
      <c r="E21" s="18" t="n">
        <v>43730857.94999998</v>
      </c>
    </row>
    <row r="22">
      <c r="A22" s="17" t="inlineStr">
        <is>
          <t>OTRO</t>
        </is>
      </c>
      <c r="B22" s="17" t="inlineStr">
        <is>
          <t>PAGO CCI 24HS NO GRAVADA INTERBANK</t>
        </is>
      </c>
      <c r="C22" s="43" t="n">
        <v>2</v>
      </c>
      <c r="D22" s="18" t="n">
        <v>3000000</v>
      </c>
      <c r="E22" s="18" t="n">
        <v>70000000</v>
      </c>
    </row>
    <row r="23">
      <c r="A23" s="17" t="inlineStr">
        <is>
          <t>OTRO</t>
        </is>
      </c>
      <c r="B23" s="17" t="inlineStr">
        <is>
          <t>CREDITO TRANSF ONLINE BANKING EMP</t>
        </is>
      </c>
      <c r="C23" s="43" t="n">
        <v>13</v>
      </c>
      <c r="D23" s="18" t="n">
        <v>1206013</v>
      </c>
      <c r="E23" s="18" t="n">
        <v>7407722.53</v>
      </c>
    </row>
    <row r="24">
      <c r="A24" s="17" t="inlineStr">
        <is>
          <t>OTRO</t>
        </is>
      </c>
      <c r="B24" s="17" t="inlineStr">
        <is>
          <t>TRANSFERENCIA RECIBIDA</t>
        </is>
      </c>
      <c r="C24" s="43" t="n">
        <v>62</v>
      </c>
      <c r="D24" s="18" t="n">
        <v>722513.9600000001</v>
      </c>
      <c r="E24" s="18" t="n">
        <v>34584524.5</v>
      </c>
    </row>
    <row r="25">
      <c r="A25" s="17" t="inlineStr">
        <is>
          <t>OTRO</t>
        </is>
      </c>
      <c r="B25" s="17" t="inlineStr">
        <is>
          <t>SNP DEBITO DIRECTO</t>
        </is>
      </c>
      <c r="C25" s="43" t="n">
        <v>2</v>
      </c>
      <c r="D25" s="18" t="n">
        <v>95322.75</v>
      </c>
      <c r="E25" s="18" t="n">
        <v>0</v>
      </c>
    </row>
    <row r="26">
      <c r="A26" s="17" t="inlineStr">
        <is>
          <t>OTRO</t>
        </is>
      </c>
      <c r="B26" s="17" t="inlineStr">
        <is>
          <t>TRANSF RECIBIDA CVU DIF TITULAR</t>
        </is>
      </c>
      <c r="C26" s="43" t="n">
        <v>10</v>
      </c>
      <c r="D26" s="18" t="n">
        <v>71171.14999999999</v>
      </c>
      <c r="E26" s="18" t="n">
        <v>1745882.52</v>
      </c>
    </row>
    <row r="27">
      <c r="A27" s="17" t="inlineStr">
        <is>
          <t>OTRO</t>
        </is>
      </c>
      <c r="B27" s="17" t="inlineStr">
        <is>
          <t>TRANSFERENCIA CTAS MOBILE BANKING</t>
        </is>
      </c>
      <c r="C27" s="43" t="n">
        <v>5</v>
      </c>
      <c r="D27" s="18" t="n">
        <v>20030.88</v>
      </c>
      <c r="E27" s="18" t="n">
        <v>76760.90000000001</v>
      </c>
    </row>
    <row r="28">
      <c r="A28" s="17" t="inlineStr">
        <is>
          <t>OTRO</t>
        </is>
      </c>
      <c r="B28" s="17" t="inlineStr">
        <is>
          <t>PAGO COMERCIOS GETNET NRO.LIQ.</t>
        </is>
      </c>
      <c r="C28" s="43" t="n">
        <v>37</v>
      </c>
      <c r="D28" s="18" t="n">
        <v>13737.76</v>
      </c>
      <c r="E28" s="18" t="n">
        <v>8910926.400000002</v>
      </c>
    </row>
    <row r="29">
      <c r="A29" s="17" t="inlineStr">
        <is>
          <t>OTRO</t>
        </is>
      </c>
      <c r="B29" s="17" t="inlineStr">
        <is>
          <t>TRANSF RECIBIDA CVU MISMO TITULAR</t>
        </is>
      </c>
      <c r="C29" s="43" t="n">
        <v>15</v>
      </c>
      <c r="D29" s="18" t="n">
        <v>0</v>
      </c>
      <c r="E29" s="18" t="n">
        <v>41300000</v>
      </c>
    </row>
    <row r="30">
      <c r="A30" s="17" t="inlineStr">
        <is>
          <t>OTRO</t>
        </is>
      </c>
      <c r="B30" s="17" t="inlineStr">
        <is>
          <t>DEPOSITO ECHEQ CANJE INTERNO 24HS</t>
        </is>
      </c>
      <c r="C30" s="43" t="n">
        <v>4</v>
      </c>
      <c r="D30" s="18" t="n">
        <v>0</v>
      </c>
      <c r="E30" s="18" t="n">
        <v>5506403.779999999</v>
      </c>
    </row>
    <row r="31">
      <c r="A31" s="17" t="inlineStr">
        <is>
          <t>OTRO</t>
        </is>
      </c>
      <c r="B31" s="17" t="inlineStr">
        <is>
          <t>DEPOSITO ECHEQ OTRO BANCO 48HS</t>
        </is>
      </c>
      <c r="C31" s="43" t="n">
        <v>8</v>
      </c>
      <c r="D31" s="18" t="n">
        <v>0</v>
      </c>
      <c r="E31" s="18" t="n">
        <v>14135238.93</v>
      </c>
    </row>
    <row r="32">
      <c r="A32" s="17" t="inlineStr">
        <is>
          <t>OTRO</t>
        </is>
      </c>
      <c r="B32" s="17" t="inlineStr">
        <is>
          <t>DEPOSITO E-CHEQ 48HS PRESENCIA BSR</t>
        </is>
      </c>
      <c r="C32" s="43" t="n">
        <v>6</v>
      </c>
      <c r="D32" s="18" t="n">
        <v>0</v>
      </c>
      <c r="E32" s="18" t="n">
        <v>14890752.94</v>
      </c>
    </row>
    <row r="33">
      <c r="A33" s="17" t="inlineStr">
        <is>
          <t>OTRO</t>
        </is>
      </c>
      <c r="B33" s="17" t="inlineStr">
        <is>
          <t>PAGO A PROVEEDORES</t>
        </is>
      </c>
      <c r="C33" s="43" t="n">
        <v>3</v>
      </c>
      <c r="D33" s="18" t="n">
        <v>0</v>
      </c>
      <c r="E33" s="18" t="n">
        <v>2816302.84</v>
      </c>
    </row>
    <row r="34">
      <c r="A34" s="17" t="inlineStr">
        <is>
          <t>OTRO</t>
        </is>
      </c>
      <c r="B34" s="17" t="inlineStr">
        <is>
          <t>TRANSF MINORISTA RECIBIDA SNP</t>
        </is>
      </c>
      <c r="C34" s="43" t="n">
        <v>2</v>
      </c>
      <c r="D34" s="18" t="n">
        <v>0</v>
      </c>
      <c r="E34" s="18" t="n">
        <v>2158277.94</v>
      </c>
    </row>
    <row r="35">
      <c r="A35" s="17" t="inlineStr">
        <is>
          <t>OTRO</t>
        </is>
      </c>
      <c r="B35" s="17" t="inlineStr">
        <is>
          <t>CFU DEPECHEQ VAL COBRO SIN PRESENC</t>
        </is>
      </c>
      <c r="C35" s="43" t="n">
        <v>1</v>
      </c>
      <c r="D35" s="18" t="n">
        <v>0</v>
      </c>
      <c r="E35" s="18" t="n">
        <v>590000</v>
      </c>
    </row>
    <row r="36">
      <c r="A36" s="17" t="inlineStr">
        <is>
          <t>OTRO</t>
        </is>
      </c>
      <c r="B36" s="17" t="inlineStr">
        <is>
          <t>VALOR AL COBRO COMP ELECT PROP LOC</t>
        </is>
      </c>
      <c r="C36" s="43" t="n">
        <v>1</v>
      </c>
      <c r="D36" s="18" t="n">
        <v>0</v>
      </c>
      <c r="E36" s="18" t="n">
        <v>120730.65</v>
      </c>
    </row>
    <row r="37">
      <c r="A37" s="17" t="inlineStr">
        <is>
          <t>OTRO</t>
        </is>
      </c>
      <c r="B37" s="17" t="inlineStr">
        <is>
          <t>TRANSFERENCIA PAGOS A TERCEROS</t>
        </is>
      </c>
      <c r="C37" s="43" t="n">
        <v>2</v>
      </c>
      <c r="D37" s="18" t="n">
        <v>0</v>
      </c>
      <c r="E37" s="18" t="n">
        <v>7771949.02</v>
      </c>
    </row>
    <row r="38">
      <c r="A38" s="17" t="inlineStr">
        <is>
          <t>PAGO_TARJETA</t>
        </is>
      </c>
      <c r="B38" s="17" t="inlineStr">
        <is>
          <t>PAGO TARJETA DE CREDITO VISA</t>
        </is>
      </c>
      <c r="C38" s="43" t="n">
        <v>1</v>
      </c>
      <c r="D38" s="18" t="n">
        <v>815844.9399999999</v>
      </c>
      <c r="E38" s="18" t="n">
        <v>0</v>
      </c>
    </row>
    <row r="39">
      <c r="A39" s="17" t="inlineStr">
        <is>
          <t>PERC_IIBB</t>
        </is>
      </c>
      <c r="B39" s="17" t="inlineStr">
        <is>
          <t>PERCEPCION INGRESOS BRUTOS CABA</t>
        </is>
      </c>
      <c r="C39" s="43" t="n">
        <v>8</v>
      </c>
      <c r="D39" s="18" t="n">
        <v>9090.99</v>
      </c>
      <c r="E39" s="18" t="n">
        <v>0</v>
      </c>
    </row>
    <row r="40">
      <c r="A40" s="17" t="inlineStr">
        <is>
          <t>RET_IIBB_TUCUMAN</t>
        </is>
      </c>
      <c r="B40" s="17" t="inlineStr">
        <is>
          <t>ADELANTO IIBB TUC LETRA H</t>
        </is>
      </c>
      <c r="C40" s="43" t="n">
        <v>20</v>
      </c>
      <c r="D40" s="18" t="n">
        <v>254212.33</v>
      </c>
      <c r="E40" s="18" t="n">
        <v>0</v>
      </c>
    </row>
    <row r="41">
      <c r="A41" s="17" t="inlineStr">
        <is>
          <t>RET_SIRCREB</t>
        </is>
      </c>
      <c r="B41" s="17" t="inlineStr">
        <is>
          <t>REGIMEN DE RECAUDACION SIRCREB N</t>
        </is>
      </c>
      <c r="C41" s="43" t="n">
        <v>19</v>
      </c>
      <c r="D41" s="18" t="n">
        <v>2715543.42</v>
      </c>
      <c r="E41" s="18" t="n">
        <v>0</v>
      </c>
    </row>
    <row r="42">
      <c r="A42" s="17" t="inlineStr">
        <is>
          <t>RET_SIRCREB</t>
        </is>
      </c>
      <c r="B42" s="17" t="inlineStr">
        <is>
          <t>REGIMEN DE RECAUDACION SIRCREB R</t>
        </is>
      </c>
      <c r="C42" s="43" t="n">
        <v>1</v>
      </c>
      <c r="D42" s="18" t="n">
        <v>47495.65</v>
      </c>
      <c r="E42" s="18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2026-04-19T03:28:38Z</dcterms:created>
  <dcterms:modified xsi:type="dcterms:W3CDTF">2026-04-19T03:28:39Z</dcterms:modified>
</cp:coreProperties>
</file>