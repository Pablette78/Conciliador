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Pablo Ponti\Conciliador\Conciliador_v10\Ejemplos\"/>
    </mc:Choice>
  </mc:AlternateContent>
  <xr:revisionPtr revIDLastSave="0" documentId="13_ncr:1_{AA087D7A-B45D-4BA6-99D1-C3C992C472DF}" xr6:coauthVersionLast="47" xr6:coauthVersionMax="47" xr10:uidLastSave="{00000000-0000-0000-0000-000000000000}"/>
  <bookViews>
    <workbookView xWindow="-108" yWindow="-108" windowWidth="23256" windowHeight="12456" tabRatio="844" activeTab="4" xr2:uid="{00000000-000D-0000-FFFF-FFFF00000000}"/>
  </bookViews>
  <sheets>
    <sheet name="Resumen" sheetId="1" r:id="rId1"/>
    <sheet name="1. Auditoría Banco" sheetId="2" r:id="rId2"/>
    <sheet name="2. Auditoría Sistema" sheetId="3" r:id="rId3"/>
    <sheet name="3. Detalle Impuestos" sheetId="4" r:id="rId4"/>
    <sheet name="4. Conciliación" sheetId="5" r:id="rId5"/>
    <sheet name="5. Conceptos Agrup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" l="1"/>
  <c r="E20" i="5" s="1"/>
  <c r="D19" i="5"/>
  <c r="B8" i="5"/>
  <c r="E43" i="6"/>
  <c r="D43" i="6"/>
  <c r="B12" i="1"/>
  <c r="E7" i="1"/>
  <c r="E6" i="1"/>
  <c r="E5" i="1"/>
  <c r="G8" i="5"/>
  <c r="E8" i="5"/>
  <c r="E201" i="4"/>
  <c r="E17" i="5"/>
  <c r="B8" i="1" s="1"/>
  <c r="D17" i="5"/>
  <c r="B9" i="1" s="1"/>
  <c r="E29" i="5"/>
  <c r="B11" i="1" s="1"/>
  <c r="D29" i="5"/>
  <c r="B10" i="1" s="1"/>
  <c r="D249" i="4"/>
  <c r="D225" i="4"/>
  <c r="D201" i="4"/>
  <c r="D189" i="4"/>
  <c r="D164" i="4"/>
  <c r="D137" i="4"/>
  <c r="D64" i="4"/>
  <c r="F7" i="3"/>
  <c r="B6" i="1" s="1"/>
  <c r="E7" i="3"/>
  <c r="B5" i="1" s="1"/>
  <c r="D7" i="2"/>
  <c r="C7" i="2"/>
  <c r="E8" i="1" l="1"/>
  <c r="E10" i="1" s="1"/>
  <c r="B7" i="1"/>
  <c r="B14" i="1" s="1"/>
  <c r="B17" i="1" s="1"/>
  <c r="D252" i="4"/>
</calcChain>
</file>

<file path=xl/sharedStrings.xml><?xml version="1.0" encoding="utf-8"?>
<sst xmlns="http://schemas.openxmlformats.org/spreadsheetml/2006/main" count="534" uniqueCount="164">
  <si>
    <t>RESUMEN CONCILIACIÓN - Web</t>
  </si>
  <si>
    <t>INSTRUMENTAL PASTEUR SRL Desde: 28/02/26</t>
  </si>
  <si>
    <t>Saldo Anterior s/ Banco</t>
  </si>
  <si>
    <t>(=) Saldo Final Calculado</t>
  </si>
  <si>
    <t>Saldo Final s/ Banco (Extracto)</t>
  </si>
  <si>
    <t>⚠ DIFERENCIA EN SALDO FINAL</t>
  </si>
  <si>
    <t>CONCILIACIÓN</t>
  </si>
  <si>
    <t>Movimientos conciliados</t>
  </si>
  <si>
    <t>Con diferencia de monto</t>
  </si>
  <si>
    <t>Solo en banco (pendientes)</t>
  </si>
  <si>
    <t>Solo en sistema (pendientes)</t>
  </si>
  <si>
    <t>GASTOS BANCARIOS E IMPUESTOS</t>
  </si>
  <si>
    <t>RET_SIRCREB</t>
  </si>
  <si>
    <t>20 movimientos</t>
  </si>
  <si>
    <t>RET_IIBB_TUCUMAN</t>
  </si>
  <si>
    <t>LEY25413_DEBITO</t>
  </si>
  <si>
    <t>21 movimientos</t>
  </si>
  <si>
    <t>LEY25413_CREDITO</t>
  </si>
  <si>
    <t>23 movimientos</t>
  </si>
  <si>
    <t>COMISION</t>
  </si>
  <si>
    <t>59 movimientos</t>
  </si>
  <si>
    <t>PERC_IIBB</t>
  </si>
  <si>
    <t>8 movimientos</t>
  </si>
  <si>
    <t>IVA</t>
  </si>
  <si>
    <t>69 movimientos</t>
  </si>
  <si>
    <t>TOTAL GASTOS</t>
  </si>
  <si>
    <t>AUDITORÍA: MOVIMIENTOS DETECTADOS EN BANCO - Web</t>
  </si>
  <si>
    <t>Saldo Anterior detectado: $ 5,622,491.49</t>
  </si>
  <si>
    <t>Fecha</t>
  </si>
  <si>
    <t>Concepto Original</t>
  </si>
  <si>
    <t>Débito</t>
  </si>
  <si>
    <t>Crédito</t>
  </si>
  <si>
    <t>Descripción/Ref</t>
  </si>
  <si>
    <t>Clasificación Motor</t>
  </si>
  <si>
    <t>Regimen de recaudacion sircreb r</t>
  </si>
  <si>
    <t xml:space="preserve"> Resp:30626629942 / 1,60% sobre</t>
  </si>
  <si>
    <t>Adelanto iibb tuc letra h</t>
  </si>
  <si>
    <t xml:space="preserve"> Resp:30626629942 / 0,12% sobre</t>
  </si>
  <si>
    <t>OTRO</t>
  </si>
  <si>
    <t>DEB_AUTOMATICO</t>
  </si>
  <si>
    <t>PAGO_TARJETA</t>
  </si>
  <si>
    <t>Impuesto ley 25.413 debito 0,6%</t>
  </si>
  <si>
    <t xml:space="preserve"> * Salvo error u omisión 2 - 33</t>
  </si>
  <si>
    <t>Impuesto ley 25.413 credito 0,6%</t>
  </si>
  <si>
    <t>Regimen de recaudacion sircreb n</t>
  </si>
  <si>
    <t xml:space="preserve"> Resp:30626629942 / 1,20% sobre</t>
  </si>
  <si>
    <t>Comision compensacion cheques cfu</t>
  </si>
  <si>
    <t>Percepcion ingresos brutos caba</t>
  </si>
  <si>
    <t>Iva 21% reg de transfisc ley27743</t>
  </si>
  <si>
    <t>Iva percepcion rg 2408</t>
  </si>
  <si>
    <t>Comision transf otros bcos canales</t>
  </si>
  <si>
    <t xml:space="preserve"> Comision transferencias</t>
  </si>
  <si>
    <t>HABERES</t>
  </si>
  <si>
    <t xml:space="preserve"> Cta orig: 195-032021/8 - base impo. usd 1.730,83</t>
  </si>
  <si>
    <t xml:space="preserve"> Cta orig: 195-032021/8 - base impo. usd 1.021,73</t>
  </si>
  <si>
    <t xml:space="preserve"> Cta orig: 195-032021/8 - base impo. usd3,31</t>
  </si>
  <si>
    <t xml:space="preserve"> Cta orig: 195-032021/8 - base impo. usd362,44</t>
  </si>
  <si>
    <t>Comision por servicio de cuenta</t>
  </si>
  <si>
    <t>Comision servicio cuenta dolares</t>
  </si>
  <si>
    <t>TOTALES</t>
  </si>
  <si>
    <t>AUDITORÍA: MOVIMIENTOS DETECTADOS EN SISTEMA - Web</t>
  </si>
  <si>
    <t>Documento/Ref</t>
  </si>
  <si>
    <t>Detalle</t>
  </si>
  <si>
    <t>Debe</t>
  </si>
  <si>
    <t>Haber</t>
  </si>
  <si>
    <t>DETALLE DIARIO DE IMPUESTOS Y GASTOS BANCARIOS - Web</t>
  </si>
  <si>
    <t>Concepto Banco</t>
  </si>
  <si>
    <t>Referencia / Detalle</t>
  </si>
  <si>
    <t>Monto</t>
  </si>
  <si>
    <t>TOTAL COMISION</t>
  </si>
  <si>
    <t>TOTAL IVA</t>
  </si>
  <si>
    <t>LEY25413 CREDITO</t>
  </si>
  <si>
    <t>TOTAL LEY25413_CREDITO</t>
  </si>
  <si>
    <t>LEY25413 DEBITO</t>
  </si>
  <si>
    <t>TOTAL LEY25413_DEBITO</t>
  </si>
  <si>
    <t>PERC IIBB</t>
  </si>
  <si>
    <t>TOTAL PERC_IIBB</t>
  </si>
  <si>
    <t>RET IIBB TUCUMAN</t>
  </si>
  <si>
    <t>TOTAL RET_IIBB_TUCUMAN</t>
  </si>
  <si>
    <t>RET SIRCREB</t>
  </si>
  <si>
    <t>TOTAL RET_SIRCREB</t>
  </si>
  <si>
    <t>CONCILIACIÓN BANCARIA - Web</t>
  </si>
  <si>
    <t>1. CRUCE DE MOVIMIENTOS (Banco vs Sistema)</t>
  </si>
  <si>
    <t>Fecha Banco</t>
  </si>
  <si>
    <t>Monto Banco</t>
  </si>
  <si>
    <t>Conc. Banco</t>
  </si>
  <si>
    <t>Fecha Sist.</t>
  </si>
  <si>
    <t>Monto Sist.</t>
  </si>
  <si>
    <t>Ref. Sist.</t>
  </si>
  <si>
    <t>Dif. $</t>
  </si>
  <si>
    <t>Dif. Días</t>
  </si>
  <si>
    <t>Nivel Cierre</t>
  </si>
  <si>
    <t>Estado</t>
  </si>
  <si>
    <t>SOLO EN BANCO (79 movimientos sin match)</t>
  </si>
  <si>
    <t>Concepto</t>
  </si>
  <si>
    <t>Tipo Automático</t>
  </si>
  <si>
    <t>TOTAL SOLO EN BANCO</t>
  </si>
  <si>
    <t>SOLO EN SISTEMA (28 movimientos sin match)</t>
  </si>
  <si>
    <t>Ref.</t>
  </si>
  <si>
    <t>AGRUPACIÓN TOTAL POR CONCEPTOS BANCARIOS - Web</t>
  </si>
  <si>
    <t>Tipo Clasificación</t>
  </si>
  <si>
    <t>Concepto Exacto</t>
  </si>
  <si>
    <t>Cant.</t>
  </si>
  <si>
    <t>Total Débitos</t>
  </si>
  <si>
    <t>Total Créditos</t>
  </si>
  <si>
    <t>COMISION COMPENSACION CHEQUES CFU</t>
  </si>
  <si>
    <t>COMISION POR SERVICIO DE CUENTA</t>
  </si>
  <si>
    <t>COMISION TRANSF OTROS BCOS CANALES</t>
  </si>
  <si>
    <t>COMISION SERVICIO CUENTA DOLARES</t>
  </si>
  <si>
    <t>DEBITO AUTOMATICO</t>
  </si>
  <si>
    <t>PAGO DE HONORARIOS</t>
  </si>
  <si>
    <t>IVA 21% REG DE TRANSFISC LEY27743</t>
  </si>
  <si>
    <t>IVA PERCEPCION RG 2408</t>
  </si>
  <si>
    <t>IMPUESTO LEY 25.413 CREDITO 0,6%</t>
  </si>
  <si>
    <t>IMPUESTO LEY 25.413 DEBITO 0,6%</t>
  </si>
  <si>
    <t>SUSCRIPCION FONDOS COMUNES INVERS</t>
  </si>
  <si>
    <t>TRANSFERENCIA POR SISTEMA MEP</t>
  </si>
  <si>
    <t>RESCATE FONDOS COMUNES INVERSION</t>
  </si>
  <si>
    <t>PAGO HABERES</t>
  </si>
  <si>
    <t>TRANSFERENCIA REALIZADA</t>
  </si>
  <si>
    <t>DEBITO TRANSF. ONLINE BANKING EMP</t>
  </si>
  <si>
    <t>PAGO DE SERVICIOS</t>
  </si>
  <si>
    <t>PAGO A PROVEEDORES RECIBIDO</t>
  </si>
  <si>
    <t>PAGO CCI 24HS NO GRAVADA INTERBANK</t>
  </si>
  <si>
    <t>CREDITO TRANSF ONLINE BANKING EMP</t>
  </si>
  <si>
    <t>TRANSFERENCIA RECIBIDA</t>
  </si>
  <si>
    <t>SNP DEBITO DIRECTO</t>
  </si>
  <si>
    <t>TRANSF RECIBIDA CVU DIF TITULAR</t>
  </si>
  <si>
    <t>TRANSFERENCIA CTAS MOBILE BANKING</t>
  </si>
  <si>
    <t>PAGO COMERCIOS GETNET NRO.LIQ.</t>
  </si>
  <si>
    <t>TRANSF RECIBIDA CVU MISMO TITULAR</t>
  </si>
  <si>
    <t>DEPOSITO ECHEQ CANJE INTERNO 24HS</t>
  </si>
  <si>
    <t>DEPOSITO ECHEQ OTRO BANCO 48HS</t>
  </si>
  <si>
    <t>DEPOSITO E-CHEQ 48HS PRESENCIA BSR</t>
  </si>
  <si>
    <t>PAGO A PROVEEDORES</t>
  </si>
  <si>
    <t>TRANSF MINORISTA RECIBIDA SNP</t>
  </si>
  <si>
    <t>CFU DEPECHEQ VAL COBRO SIN PRESENC</t>
  </si>
  <si>
    <t>VALOR AL COBRO COMP ELECT PROP LOC</t>
  </si>
  <si>
    <t>TRANSFERENCIA PAGOS A TERCEROS</t>
  </si>
  <si>
    <t>PAGO TARJETA DE CREDITO VISA</t>
  </si>
  <si>
    <t>PERCEPCION INGRESOS BRUTOS CABA</t>
  </si>
  <si>
    <t>ADELANTO IIBB TUC LETRA H</t>
  </si>
  <si>
    <t>REGIMEN DE RECAUDACION SIRCREB N</t>
  </si>
  <si>
    <t>REGIMEN DE RECAUDACION SIRCREB R</t>
  </si>
  <si>
    <t>Credito Banco no conciliado</t>
  </si>
  <si>
    <t>Debito Banco No conciliado</t>
  </si>
  <si>
    <t>Debe Sistema no conciliado</t>
  </si>
  <si>
    <t>Haber Sistema no conciliado</t>
  </si>
  <si>
    <t>(+) Total Debe Mayor Sistema</t>
  </si>
  <si>
    <t>(-) Total Haber Mayor Sistema</t>
  </si>
  <si>
    <t>*Marcar con color los que tienen diferencia</t>
  </si>
  <si>
    <t>*Marcar los que no son exactos.</t>
  </si>
  <si>
    <t>Estado de la descarga del Extracto.</t>
  </si>
  <si>
    <t>Saldo inicio</t>
  </si>
  <si>
    <t>Creditos</t>
  </si>
  <si>
    <t>Debitos</t>
  </si>
  <si>
    <t>Saldo final</t>
  </si>
  <si>
    <t>Control</t>
  </si>
  <si>
    <t>* Debe ser Cero.</t>
  </si>
  <si>
    <t>* Cambiar de color si no es cero.</t>
  </si>
  <si>
    <t>Impuestos y Comisiones</t>
  </si>
  <si>
    <t xml:space="preserve"> * Las Percepciones deben estar separadas de la agrupacion IVA. Es otra como IVA Percepcion</t>
  </si>
  <si>
    <t>* tiene que ser 0</t>
  </si>
  <si>
    <t>*No cruces las columnas para conciliar. Es importante que los debitos del banco se concilian con el Haber del mayor y los Creditos con el Debe.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</si>
</sst>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6"/>
      <color rgb="FF2F5496"/>
      <name val="Arial"/>
      <family val="2"/>
    </font>
    <font>
      <sz val="10"/>
      <color rgb="FF666666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2"/>
      <color rgb="FF2F5496"/>
      <name val="Arial"/>
      <family val="2"/>
    </font>
    <font>
      <sz val="10"/>
      <name val="Arial"/>
      <family val="2"/>
    </font>
    <font>
      <sz val="9"/>
      <color rgb="FF888888"/>
      <name val="Arial"/>
      <family val="2"/>
    </font>
    <font>
      <b/>
      <sz val="14"/>
      <color rgb="FF2F5496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C00000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4" fontId="3" fillId="2" borderId="1" xfId="0" applyNumberFormat="1" applyFont="1" applyFill="1" applyBorder="1"/>
    <xf numFmtId="0" fontId="4" fillId="0" borderId="0" xfId="0" applyFont="1"/>
    <xf numFmtId="4" fontId="0" fillId="0" borderId="0" xfId="0" applyNumberFormat="1"/>
    <xf numFmtId="0" fontId="5" fillId="0" borderId="0" xfId="0" applyFont="1"/>
    <xf numFmtId="0" fontId="6" fillId="0" borderId="1" xfId="0" applyFont="1" applyBorder="1"/>
    <xf numFmtId="4" fontId="6" fillId="0" borderId="1" xfId="0" applyNumberFormat="1" applyFont="1" applyBorder="1"/>
    <xf numFmtId="0" fontId="7" fillId="0" borderId="0" xfId="0" applyFont="1"/>
    <xf numFmtId="0" fontId="3" fillId="3" borderId="1" xfId="0" applyFont="1" applyFill="1" applyBorder="1"/>
    <xf numFmtId="4" fontId="3" fillId="3" borderId="1" xfId="0" applyNumberFormat="1" applyFont="1" applyFill="1" applyBorder="1"/>
    <xf numFmtId="0" fontId="9" fillId="0" borderId="0" xfId="0" applyFont="1"/>
    <xf numFmtId="0" fontId="10" fillId="4" borderId="1" xfId="0" applyFont="1" applyFill="1" applyBorder="1" applyAlignment="1">
      <alignment horizontal="center"/>
    </xf>
    <xf numFmtId="14" fontId="6" fillId="0" borderId="1" xfId="0" applyNumberFormat="1" applyFont="1" applyBorder="1"/>
    <xf numFmtId="0" fontId="0" fillId="0" borderId="1" xfId="0" applyBorder="1"/>
    <xf numFmtId="0" fontId="9" fillId="3" borderId="1" xfId="0" applyFont="1" applyFill="1" applyBorder="1"/>
    <xf numFmtId="4" fontId="9" fillId="3" borderId="1" xfId="0" applyNumberFormat="1" applyFont="1" applyFill="1" applyBorder="1"/>
    <xf numFmtId="0" fontId="12" fillId="0" borderId="0" xfId="0" applyFont="1"/>
    <xf numFmtId="0" fontId="9" fillId="6" borderId="0" xfId="0" applyFont="1" applyFill="1"/>
    <xf numFmtId="0" fontId="6" fillId="0" borderId="1" xfId="0" applyFont="1" applyBorder="1" applyAlignment="1">
      <alignment horizontal="center"/>
    </xf>
    <xf numFmtId="0" fontId="0" fillId="0" borderId="0" xfId="0"/>
    <xf numFmtId="14" fontId="6" fillId="0" borderId="1" xfId="0" applyNumberFormat="1" applyFont="1" applyFill="1" applyBorder="1"/>
    <xf numFmtId="4" fontId="6" fillId="0" borderId="1" xfId="0" applyNumberFormat="1" applyFont="1" applyFill="1" applyBorder="1"/>
    <xf numFmtId="0" fontId="6" fillId="0" borderId="1" xfId="0" applyFont="1" applyFill="1" applyBorder="1"/>
    <xf numFmtId="14" fontId="6" fillId="0" borderId="0" xfId="0" applyNumberFormat="1" applyFont="1" applyFill="1" applyBorder="1"/>
    <xf numFmtId="4" fontId="6" fillId="0" borderId="0" xfId="0" applyNumberFormat="1" applyFont="1" applyFill="1" applyBorder="1"/>
    <xf numFmtId="0" fontId="6" fillId="0" borderId="0" xfId="0" applyFont="1" applyFill="1" applyBorder="1"/>
    <xf numFmtId="4" fontId="6" fillId="7" borderId="0" xfId="0" applyNumberFormat="1" applyFont="1" applyFill="1" applyBorder="1"/>
    <xf numFmtId="4" fontId="9" fillId="7" borderId="0" xfId="0" applyNumberFormat="1" applyFont="1" applyFill="1"/>
    <xf numFmtId="4" fontId="0" fillId="7" borderId="0" xfId="0" applyNumberFormat="1" applyFill="1"/>
    <xf numFmtId="0" fontId="6" fillId="0" borderId="3" xfId="0" applyFont="1" applyFill="1" applyBorder="1"/>
    <xf numFmtId="4" fontId="0" fillId="7" borderId="2" xfId="0" applyNumberFormat="1" applyFill="1" applyBorder="1"/>
    <xf numFmtId="4" fontId="6" fillId="0" borderId="3" xfId="0" applyNumberFormat="1" applyFont="1" applyFill="1" applyBorder="1"/>
    <xf numFmtId="4" fontId="9" fillId="7" borderId="2" xfId="0" applyNumberFormat="1" applyFont="1" applyFill="1" applyBorder="1"/>
    <xf numFmtId="0" fontId="3" fillId="2" borderId="4" xfId="0" applyFont="1" applyFill="1" applyBorder="1"/>
    <xf numFmtId="4" fontId="3" fillId="2" borderId="4" xfId="0" applyNumberFormat="1" applyFont="1" applyFill="1" applyBorder="1"/>
    <xf numFmtId="4" fontId="3" fillId="7" borderId="1" xfId="0" applyNumberFormat="1" applyFont="1" applyFill="1" applyBorder="1"/>
    <xf numFmtId="0" fontId="3" fillId="2" borderId="5" xfId="0" applyFont="1" applyFill="1" applyBorder="1"/>
    <xf numFmtId="4" fontId="3" fillId="2" borderId="5" xfId="0" applyNumberFormat="1" applyFont="1" applyFill="1" applyBorder="1"/>
    <xf numFmtId="0" fontId="0" fillId="0" borderId="0" xfId="0" applyBorder="1"/>
    <xf numFmtId="4" fontId="3" fillId="7" borderId="5" xfId="0" applyNumberFormat="1" applyFont="1" applyFill="1" applyBorder="1"/>
    <xf numFmtId="0" fontId="3" fillId="2" borderId="18" xfId="0" applyFont="1" applyFill="1" applyBorder="1"/>
    <xf numFmtId="4" fontId="3" fillId="7" borderId="18" xfId="0" applyNumberFormat="1" applyFont="1" applyFill="1" applyBorder="1"/>
    <xf numFmtId="0" fontId="3" fillId="2" borderId="3" xfId="0" applyFont="1" applyFill="1" applyBorder="1"/>
    <xf numFmtId="4" fontId="3" fillId="2" borderId="3" xfId="0" applyNumberFormat="1" applyFont="1" applyFill="1" applyBorder="1"/>
    <xf numFmtId="4" fontId="3" fillId="7" borderId="4" xfId="0" applyNumberFormat="1" applyFont="1" applyFill="1" applyBorder="1"/>
    <xf numFmtId="0" fontId="3" fillId="2" borderId="19" xfId="0" applyFont="1" applyFill="1" applyBorder="1"/>
    <xf numFmtId="4" fontId="3" fillId="7" borderId="20" xfId="0" applyNumberFormat="1" applyFont="1" applyFill="1" applyBorder="1"/>
    <xf numFmtId="0" fontId="9" fillId="7" borderId="1" xfId="0" applyFont="1" applyFill="1" applyBorder="1"/>
    <xf numFmtId="4" fontId="9" fillId="7" borderId="1" xfId="0" applyNumberFormat="1" applyFont="1" applyFill="1" applyBorder="1"/>
    <xf numFmtId="0" fontId="9" fillId="7" borderId="0" xfId="0" applyFont="1" applyFill="1"/>
    <xf numFmtId="0" fontId="0" fillId="7" borderId="0" xfId="0" applyFill="1"/>
    <xf numFmtId="43" fontId="0" fillId="7" borderId="0" xfId="1" applyNumberFormat="1" applyFont="1" applyFill="1"/>
    <xf numFmtId="0" fontId="6" fillId="7" borderId="1" xfId="0" applyFont="1" applyFill="1" applyBorder="1"/>
    <xf numFmtId="43" fontId="0" fillId="0" borderId="0" xfId="0" applyNumberFormat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4" fontId="6" fillId="0" borderId="3" xfId="0" applyNumberFormat="1" applyFont="1" applyBorder="1"/>
    <xf numFmtId="0" fontId="6" fillId="7" borderId="19" xfId="0" applyFont="1" applyFill="1" applyBorder="1"/>
    <xf numFmtId="0" fontId="0" fillId="7" borderId="21" xfId="0" applyFill="1" applyBorder="1"/>
    <xf numFmtId="4" fontId="0" fillId="7" borderId="21" xfId="0" applyNumberFormat="1" applyFill="1" applyBorder="1"/>
    <xf numFmtId="4" fontId="0" fillId="7" borderId="22" xfId="0" applyNumberFormat="1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0" xfId="0" applyFill="1" applyBorder="1"/>
    <xf numFmtId="0" fontId="0" fillId="7" borderId="11" xfId="0" applyFill="1" applyBorder="1"/>
    <xf numFmtId="4" fontId="0" fillId="7" borderId="0" xfId="0" applyNumberFormat="1" applyFill="1" applyBorder="1"/>
    <xf numFmtId="4" fontId="0" fillId="7" borderId="6" xfId="0" applyNumberFormat="1" applyFill="1" applyBorder="1"/>
    <xf numFmtId="0" fontId="0" fillId="7" borderId="12" xfId="0" applyFill="1" applyBorder="1"/>
    <xf numFmtId="4" fontId="0" fillId="7" borderId="13" xfId="0" applyNumberFormat="1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1" fillId="0" borderId="0" xfId="0" applyFont="1"/>
    <xf numFmtId="0" fontId="0" fillId="0" borderId="0" xfId="0"/>
    <xf numFmtId="0" fontId="8" fillId="0" borderId="0" xfId="0" applyFont="1"/>
    <xf numFmtId="0" fontId="11" fillId="5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zoomScale="70" zoomScaleNormal="70" workbookViewId="0">
      <selection activeCell="F11" sqref="F11"/>
    </sheetView>
  </sheetViews>
  <sheetFormatPr baseColWidth="10" defaultColWidth="8.88671875" defaultRowHeight="14.4" x14ac:dyDescent="0.3"/>
  <cols>
    <col min="1" max="1" width="40" customWidth="1"/>
    <col min="2" max="2" width="22" customWidth="1"/>
    <col min="3" max="3" width="20" customWidth="1"/>
    <col min="4" max="4" width="12" customWidth="1"/>
    <col min="5" max="5" width="14.44140625" customWidth="1"/>
  </cols>
  <sheetData>
    <row r="1" spans="1:7" ht="21" x14ac:dyDescent="0.4">
      <c r="A1" s="78" t="s">
        <v>0</v>
      </c>
      <c r="B1" s="79"/>
      <c r="C1" s="79"/>
      <c r="D1" s="79"/>
    </row>
    <row r="2" spans="1:7" x14ac:dyDescent="0.3">
      <c r="A2" s="1" t="s">
        <v>1</v>
      </c>
    </row>
    <row r="4" spans="1:7" x14ac:dyDescent="0.3">
      <c r="A4" s="2" t="s">
        <v>2</v>
      </c>
      <c r="B4" s="3">
        <v>5622491.4900000002</v>
      </c>
      <c r="D4" s="63" t="s">
        <v>152</v>
      </c>
      <c r="E4" s="64"/>
      <c r="F4" s="64"/>
      <c r="G4" s="65"/>
    </row>
    <row r="5" spans="1:7" x14ac:dyDescent="0.3">
      <c r="A5" s="2" t="s">
        <v>148</v>
      </c>
      <c r="B5" s="3">
        <f>+'2. Auditoría Sistema'!E7</f>
        <v>0</v>
      </c>
      <c r="C5" s="5"/>
      <c r="D5" s="66" t="s">
        <v>153</v>
      </c>
      <c r="E5" s="67">
        <f>+'1. Auditoría Banco'!B3</f>
        <v>0</v>
      </c>
      <c r="F5" s="67"/>
      <c r="G5" s="68"/>
    </row>
    <row r="6" spans="1:7" ht="15" thickBot="1" x14ac:dyDescent="0.35">
      <c r="A6" s="44" t="s">
        <v>149</v>
      </c>
      <c r="B6" s="45">
        <f>+'2. Auditoría Sistema'!F7</f>
        <v>0</v>
      </c>
      <c r="D6" s="66" t="s">
        <v>154</v>
      </c>
      <c r="E6" s="69">
        <f>+'1. Auditoría Banco'!D7</f>
        <v>0</v>
      </c>
      <c r="F6" s="67"/>
      <c r="G6" s="68"/>
    </row>
    <row r="7" spans="1:7" ht="15" thickBot="1" x14ac:dyDescent="0.35">
      <c r="A7" s="47" t="s">
        <v>3</v>
      </c>
      <c r="B7" s="48">
        <f>+B4+B5-B6</f>
        <v>5622491.4900000002</v>
      </c>
      <c r="C7" s="5"/>
      <c r="D7" s="66" t="s">
        <v>155</v>
      </c>
      <c r="E7" s="70">
        <f>+'1. Auditoría Banco'!C7</f>
        <v>0</v>
      </c>
      <c r="F7" s="67"/>
      <c r="G7" s="68"/>
    </row>
    <row r="8" spans="1:7" x14ac:dyDescent="0.3">
      <c r="A8" s="35" t="s">
        <v>144</v>
      </c>
      <c r="B8" s="46">
        <f>+'4. Conciliación'!E17</f>
        <v>0</v>
      </c>
      <c r="C8" s="5"/>
      <c r="D8" s="66" t="s">
        <v>156</v>
      </c>
      <c r="E8" s="69">
        <f>+E5+E6-E7</f>
        <v>0</v>
      </c>
      <c r="F8" s="67"/>
      <c r="G8" s="68"/>
    </row>
    <row r="9" spans="1:7" s="21" customFormat="1" ht="15" thickBot="1" x14ac:dyDescent="0.35">
      <c r="A9" s="2" t="s">
        <v>145</v>
      </c>
      <c r="B9" s="37">
        <f>+'4. Conciliación'!D17</f>
        <v>0</v>
      </c>
      <c r="C9" s="5"/>
      <c r="D9" s="66"/>
      <c r="E9" s="67"/>
      <c r="F9" s="67"/>
      <c r="G9" s="68"/>
    </row>
    <row r="10" spans="1:7" s="21" customFormat="1" x14ac:dyDescent="0.3">
      <c r="A10" s="2" t="s">
        <v>146</v>
      </c>
      <c r="B10" s="37">
        <f>+'4. Conciliación'!D29</f>
        <v>0</v>
      </c>
      <c r="C10" s="5"/>
      <c r="D10" s="71" t="s">
        <v>157</v>
      </c>
      <c r="E10" s="72">
        <f>+E8-B16</f>
        <v>-2692160.82</v>
      </c>
      <c r="F10" s="73" t="s">
        <v>158</v>
      </c>
      <c r="G10" s="74"/>
    </row>
    <row r="11" spans="1:7" s="21" customFormat="1" ht="15" thickBot="1" x14ac:dyDescent="0.35">
      <c r="A11" s="2" t="s">
        <v>147</v>
      </c>
      <c r="B11" s="37">
        <f>+'4. Conciliación'!E29</f>
        <v>0</v>
      </c>
      <c r="C11" s="5"/>
      <c r="D11" s="75"/>
      <c r="E11" s="76"/>
      <c r="F11" s="76" t="s">
        <v>159</v>
      </c>
      <c r="G11" s="77"/>
    </row>
    <row r="12" spans="1:7" s="21" customFormat="1" x14ac:dyDescent="0.3">
      <c r="A12" s="2" t="s">
        <v>160</v>
      </c>
      <c r="B12" s="37">
        <f>+B33</f>
        <v>5726858.9899999993</v>
      </c>
      <c r="C12" s="5"/>
      <c r="D12" s="40"/>
      <c r="E12" s="40"/>
      <c r="F12" s="40"/>
      <c r="G12" s="40"/>
    </row>
    <row r="13" spans="1:7" s="21" customFormat="1" ht="15" thickBot="1" x14ac:dyDescent="0.35">
      <c r="A13" s="42"/>
      <c r="B13" s="43"/>
      <c r="C13" s="5"/>
      <c r="D13" s="40"/>
      <c r="E13" s="40"/>
      <c r="F13" s="40"/>
      <c r="G13" s="40"/>
    </row>
    <row r="14" spans="1:7" s="21" customFormat="1" ht="15" thickTop="1" x14ac:dyDescent="0.3">
      <c r="A14" s="38"/>
      <c r="B14" s="41">
        <f>+B7+B8-B9+B10-B11-B12</f>
        <v>-104367.49999999907</v>
      </c>
    </row>
    <row r="15" spans="1:7" s="21" customFormat="1" x14ac:dyDescent="0.3">
      <c r="A15" s="38"/>
      <c r="B15" s="39"/>
    </row>
    <row r="16" spans="1:7" s="21" customFormat="1" x14ac:dyDescent="0.3">
      <c r="A16" s="35" t="s">
        <v>4</v>
      </c>
      <c r="B16" s="36">
        <v>2692160.82</v>
      </c>
    </row>
    <row r="17" spans="1:3" x14ac:dyDescent="0.3">
      <c r="A17" s="4" t="s">
        <v>5</v>
      </c>
      <c r="B17" s="30">
        <f>+B16-B14</f>
        <v>2796528.3199999989</v>
      </c>
    </row>
    <row r="19" spans="1:3" ht="15.6" x14ac:dyDescent="0.3">
      <c r="A19" s="6" t="s">
        <v>6</v>
      </c>
    </row>
    <row r="20" spans="1:3" x14ac:dyDescent="0.3">
      <c r="A20" s="7" t="s">
        <v>7</v>
      </c>
      <c r="B20" s="7">
        <v>327</v>
      </c>
    </row>
    <row r="21" spans="1:3" x14ac:dyDescent="0.3">
      <c r="A21" s="7" t="s">
        <v>8</v>
      </c>
      <c r="B21" s="7">
        <v>3</v>
      </c>
    </row>
    <row r="22" spans="1:3" x14ac:dyDescent="0.3">
      <c r="A22" s="7" t="s">
        <v>9</v>
      </c>
      <c r="B22" s="7">
        <v>79</v>
      </c>
    </row>
    <row r="23" spans="1:3" x14ac:dyDescent="0.3">
      <c r="A23" s="7" t="s">
        <v>10</v>
      </c>
      <c r="B23" s="7">
        <v>28</v>
      </c>
    </row>
    <row r="25" spans="1:3" ht="15.6" x14ac:dyDescent="0.3">
      <c r="A25" s="6" t="s">
        <v>11</v>
      </c>
    </row>
    <row r="26" spans="1:3" x14ac:dyDescent="0.3">
      <c r="A26" s="7" t="s">
        <v>12</v>
      </c>
      <c r="B26" s="8">
        <v>2763039.07</v>
      </c>
      <c r="C26" s="9" t="s">
        <v>13</v>
      </c>
    </row>
    <row r="27" spans="1:3" x14ac:dyDescent="0.3">
      <c r="A27" s="7" t="s">
        <v>14</v>
      </c>
      <c r="B27" s="8">
        <v>254212.33</v>
      </c>
      <c r="C27" s="9" t="s">
        <v>13</v>
      </c>
    </row>
    <row r="28" spans="1:3" x14ac:dyDescent="0.3">
      <c r="A28" s="7" t="s">
        <v>15</v>
      </c>
      <c r="B28" s="8">
        <v>985573.82000000007</v>
      </c>
      <c r="C28" s="9" t="s">
        <v>16</v>
      </c>
    </row>
    <row r="29" spans="1:3" x14ac:dyDescent="0.3">
      <c r="A29" s="7" t="s">
        <v>17</v>
      </c>
      <c r="B29" s="8">
        <v>1420037.56</v>
      </c>
      <c r="C29" s="9" t="s">
        <v>18</v>
      </c>
    </row>
    <row r="30" spans="1:3" x14ac:dyDescent="0.3">
      <c r="A30" s="7" t="s">
        <v>19</v>
      </c>
      <c r="B30" s="8">
        <v>239074.83</v>
      </c>
      <c r="C30" s="9" t="s">
        <v>20</v>
      </c>
    </row>
    <row r="31" spans="1:3" x14ac:dyDescent="0.3">
      <c r="A31" s="7" t="s">
        <v>21</v>
      </c>
      <c r="B31" s="8">
        <v>9090.99</v>
      </c>
      <c r="C31" s="9" t="s">
        <v>22</v>
      </c>
    </row>
    <row r="32" spans="1:3" x14ac:dyDescent="0.3">
      <c r="A32" s="7" t="s">
        <v>23</v>
      </c>
      <c r="B32" s="8">
        <v>55830.389999999992</v>
      </c>
      <c r="C32" s="9" t="s">
        <v>24</v>
      </c>
    </row>
    <row r="33" spans="1:2" x14ac:dyDescent="0.3">
      <c r="A33" s="10" t="s">
        <v>25</v>
      </c>
      <c r="B33" s="11">
        <v>5726858.9899999993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opLeftCell="A2" workbookViewId="0">
      <selection activeCell="E28" sqref="E27:E28"/>
    </sheetView>
  </sheetViews>
  <sheetFormatPr baseColWidth="10" defaultColWidth="8.88671875" defaultRowHeight="14.4" x14ac:dyDescent="0.3"/>
  <cols>
    <col min="1" max="1" width="14" customWidth="1"/>
    <col min="2" max="2" width="32" customWidth="1"/>
    <col min="3" max="4" width="16" customWidth="1"/>
    <col min="5" max="5" width="30" customWidth="1"/>
    <col min="6" max="6" width="24" customWidth="1"/>
  </cols>
  <sheetData>
    <row r="1" spans="1:6" ht="17.399999999999999" x14ac:dyDescent="0.3">
      <c r="A1" s="80" t="s">
        <v>26</v>
      </c>
      <c r="B1" s="79"/>
      <c r="C1" s="79"/>
      <c r="D1" s="79"/>
      <c r="E1" s="79"/>
      <c r="F1" s="79"/>
    </row>
    <row r="3" spans="1:6" x14ac:dyDescent="0.3">
      <c r="A3" s="12" t="s">
        <v>27</v>
      </c>
      <c r="D3" s="53">
        <v>5622491</v>
      </c>
    </row>
    <row r="5" spans="1:6" x14ac:dyDescent="0.3">
      <c r="A5" s="13" t="s">
        <v>28</v>
      </c>
      <c r="B5" s="13" t="s">
        <v>29</v>
      </c>
      <c r="C5" s="13" t="s">
        <v>30</v>
      </c>
      <c r="D5" s="13" t="s">
        <v>31</v>
      </c>
      <c r="E5" s="13" t="s">
        <v>32</v>
      </c>
      <c r="F5" s="13" t="s">
        <v>33</v>
      </c>
    </row>
    <row r="6" spans="1:6" x14ac:dyDescent="0.3">
      <c r="A6" s="14"/>
      <c r="B6" s="7"/>
      <c r="C6" s="8"/>
      <c r="D6" s="7"/>
      <c r="E6" s="7"/>
      <c r="F6" s="7"/>
    </row>
    <row r="7" spans="1:6" x14ac:dyDescent="0.3">
      <c r="A7" s="15"/>
      <c r="B7" s="49" t="s">
        <v>59</v>
      </c>
      <c r="C7" s="50">
        <f>SUM(C6:C6)</f>
        <v>0</v>
      </c>
      <c r="D7" s="50">
        <f>SUM(D6:D6)</f>
        <v>0</v>
      </c>
      <c r="E7" s="15"/>
      <c r="F7" s="15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7" sqref="F7"/>
    </sheetView>
  </sheetViews>
  <sheetFormatPr baseColWidth="10" defaultColWidth="8.88671875" defaultRowHeight="14.4" x14ac:dyDescent="0.3"/>
  <cols>
    <col min="1" max="1" width="14" customWidth="1"/>
    <col min="2" max="2" width="28" customWidth="1"/>
    <col min="3" max="4" width="32" customWidth="1"/>
    <col min="5" max="6" width="16" customWidth="1"/>
  </cols>
  <sheetData>
    <row r="1" spans="1:6" ht="17.399999999999999" x14ac:dyDescent="0.3">
      <c r="A1" s="80" t="s">
        <v>60</v>
      </c>
      <c r="B1" s="79"/>
      <c r="C1" s="79"/>
      <c r="D1" s="79"/>
      <c r="E1" s="79"/>
      <c r="F1" s="79"/>
    </row>
    <row r="3" spans="1:6" x14ac:dyDescent="0.3">
      <c r="A3" s="13" t="s">
        <v>28</v>
      </c>
      <c r="B3" s="13" t="s">
        <v>61</v>
      </c>
      <c r="C3" s="13" t="s">
        <v>29</v>
      </c>
      <c r="D3" s="13" t="s">
        <v>62</v>
      </c>
      <c r="E3" s="13" t="s">
        <v>63</v>
      </c>
      <c r="F3" s="13" t="s">
        <v>64</v>
      </c>
    </row>
    <row r="4" spans="1:6" x14ac:dyDescent="0.3">
      <c r="A4" s="14"/>
      <c r="B4" s="7"/>
      <c r="C4" s="7"/>
      <c r="D4" s="7"/>
      <c r="E4" s="8"/>
      <c r="F4" s="7"/>
    </row>
    <row r="5" spans="1:6" x14ac:dyDescent="0.3">
      <c r="A5" s="14"/>
      <c r="B5" s="7"/>
      <c r="C5" s="7"/>
      <c r="D5" s="7"/>
      <c r="E5" s="8"/>
      <c r="F5" s="7"/>
    </row>
    <row r="6" spans="1:6" x14ac:dyDescent="0.3">
      <c r="A6" s="14"/>
      <c r="B6" s="7"/>
      <c r="C6" s="7"/>
      <c r="D6" s="7"/>
      <c r="E6" s="8"/>
      <c r="F6" s="7"/>
    </row>
    <row r="7" spans="1:6" x14ac:dyDescent="0.3">
      <c r="D7" s="51" t="s">
        <v>59</v>
      </c>
      <c r="E7" s="29">
        <f>SUM(E4:E6)</f>
        <v>0</v>
      </c>
      <c r="F7" s="29">
        <f>SUM(F4:F6)</f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2"/>
  <sheetViews>
    <sheetView topLeftCell="A119" workbookViewId="0">
      <selection activeCell="E129" sqref="E129"/>
    </sheetView>
  </sheetViews>
  <sheetFormatPr baseColWidth="10" defaultColWidth="8.88671875" defaultRowHeight="14.4" outlineLevelRow="1" x14ac:dyDescent="0.3"/>
  <cols>
    <col min="1" max="1" width="14" customWidth="1"/>
    <col min="2" max="2" width="50" customWidth="1"/>
    <col min="3" max="3" width="45" customWidth="1"/>
    <col min="4" max="4" width="20" customWidth="1"/>
  </cols>
  <sheetData>
    <row r="1" spans="1:4" ht="17.399999999999999" x14ac:dyDescent="0.3">
      <c r="A1" s="80" t="s">
        <v>65</v>
      </c>
      <c r="B1" s="79"/>
      <c r="C1" s="79"/>
      <c r="D1" s="79"/>
    </row>
    <row r="3" spans="1:4" ht="15.6" x14ac:dyDescent="0.3">
      <c r="A3" s="81" t="s">
        <v>19</v>
      </c>
      <c r="B3" s="79"/>
      <c r="C3" s="79"/>
      <c r="D3" s="79"/>
    </row>
    <row r="4" spans="1:4" x14ac:dyDescent="0.3">
      <c r="A4" s="13" t="s">
        <v>28</v>
      </c>
      <c r="B4" s="13" t="s">
        <v>66</v>
      </c>
      <c r="C4" s="13" t="s">
        <v>67</v>
      </c>
      <c r="D4" s="13" t="s">
        <v>68</v>
      </c>
    </row>
    <row r="5" spans="1:4" hidden="1" outlineLevel="1" x14ac:dyDescent="0.3">
      <c r="A5" s="14">
        <v>46084</v>
      </c>
      <c r="B5" s="7" t="s">
        <v>46</v>
      </c>
      <c r="C5" s="7"/>
      <c r="D5" s="8">
        <v>18463.2</v>
      </c>
    </row>
    <row r="6" spans="1:4" hidden="1" outlineLevel="1" x14ac:dyDescent="0.3">
      <c r="A6" s="14">
        <v>46084</v>
      </c>
      <c r="B6" s="7" t="s">
        <v>50</v>
      </c>
      <c r="C6" s="7" t="s">
        <v>51</v>
      </c>
      <c r="D6" s="8">
        <v>1485</v>
      </c>
    </row>
    <row r="7" spans="1:4" hidden="1" outlineLevel="1" x14ac:dyDescent="0.3">
      <c r="A7" s="14">
        <v>46086</v>
      </c>
      <c r="B7" s="7" t="s">
        <v>50</v>
      </c>
      <c r="C7" s="7" t="s">
        <v>51</v>
      </c>
      <c r="D7" s="8">
        <v>120</v>
      </c>
    </row>
    <row r="8" spans="1:4" hidden="1" outlineLevel="1" x14ac:dyDescent="0.3">
      <c r="A8" s="14">
        <v>46086</v>
      </c>
      <c r="B8" s="7" t="s">
        <v>50</v>
      </c>
      <c r="C8" s="7" t="s">
        <v>51</v>
      </c>
      <c r="D8" s="8">
        <v>120</v>
      </c>
    </row>
    <row r="9" spans="1:4" hidden="1" outlineLevel="1" x14ac:dyDescent="0.3">
      <c r="A9" s="14">
        <v>46086</v>
      </c>
      <c r="B9" s="7" t="s">
        <v>50</v>
      </c>
      <c r="C9" s="7" t="s">
        <v>51</v>
      </c>
      <c r="D9" s="8">
        <v>720</v>
      </c>
    </row>
    <row r="10" spans="1:4" hidden="1" outlineLevel="1" x14ac:dyDescent="0.3">
      <c r="A10" s="14">
        <v>46086</v>
      </c>
      <c r="B10" s="7" t="s">
        <v>50</v>
      </c>
      <c r="C10" s="7" t="s">
        <v>51</v>
      </c>
      <c r="D10" s="8">
        <v>1485</v>
      </c>
    </row>
    <row r="11" spans="1:4" hidden="1" outlineLevel="1" x14ac:dyDescent="0.3">
      <c r="A11" s="14">
        <v>46086</v>
      </c>
      <c r="B11" s="7" t="s">
        <v>50</v>
      </c>
      <c r="C11" s="7" t="s">
        <v>51</v>
      </c>
      <c r="D11" s="8">
        <v>1485</v>
      </c>
    </row>
    <row r="12" spans="1:4" hidden="1" outlineLevel="1" x14ac:dyDescent="0.3">
      <c r="A12" s="14">
        <v>46086</v>
      </c>
      <c r="B12" s="7" t="s">
        <v>50</v>
      </c>
      <c r="C12" s="7" t="s">
        <v>51</v>
      </c>
      <c r="D12" s="8">
        <v>1485</v>
      </c>
    </row>
    <row r="13" spans="1:4" hidden="1" outlineLevel="1" x14ac:dyDescent="0.3">
      <c r="A13" s="14">
        <v>46086</v>
      </c>
      <c r="B13" s="7" t="s">
        <v>50</v>
      </c>
      <c r="C13" s="7" t="s">
        <v>51</v>
      </c>
      <c r="D13" s="8">
        <v>1485</v>
      </c>
    </row>
    <row r="14" spans="1:4" hidden="1" outlineLevel="1" x14ac:dyDescent="0.3">
      <c r="A14" s="14">
        <v>46090</v>
      </c>
      <c r="B14" s="7" t="s">
        <v>46</v>
      </c>
      <c r="C14" s="7"/>
      <c r="D14" s="8">
        <v>4381.07</v>
      </c>
    </row>
    <row r="15" spans="1:4" hidden="1" outlineLevel="1" x14ac:dyDescent="0.3">
      <c r="A15" s="14">
        <v>46090</v>
      </c>
      <c r="B15" s="7" t="s">
        <v>50</v>
      </c>
      <c r="C15" s="7" t="s">
        <v>51</v>
      </c>
      <c r="D15" s="8">
        <v>720</v>
      </c>
    </row>
    <row r="16" spans="1:4" hidden="1" outlineLevel="1" x14ac:dyDescent="0.3">
      <c r="A16" s="14">
        <v>46091</v>
      </c>
      <c r="B16" s="7" t="s">
        <v>46</v>
      </c>
      <c r="C16" s="7"/>
      <c r="D16" s="8">
        <v>8260</v>
      </c>
    </row>
    <row r="17" spans="1:4" hidden="1" outlineLevel="1" x14ac:dyDescent="0.3">
      <c r="A17" s="14">
        <v>46091</v>
      </c>
      <c r="B17" s="7" t="s">
        <v>50</v>
      </c>
      <c r="C17" s="7" t="s">
        <v>51</v>
      </c>
      <c r="D17" s="8">
        <v>315</v>
      </c>
    </row>
    <row r="18" spans="1:4" hidden="1" outlineLevel="1" x14ac:dyDescent="0.3">
      <c r="A18" s="14">
        <v>46091</v>
      </c>
      <c r="B18" s="7" t="s">
        <v>50</v>
      </c>
      <c r="C18" s="7" t="s">
        <v>51</v>
      </c>
      <c r="D18" s="8">
        <v>315</v>
      </c>
    </row>
    <row r="19" spans="1:4" hidden="1" outlineLevel="1" x14ac:dyDescent="0.3">
      <c r="A19" s="14">
        <v>46091</v>
      </c>
      <c r="B19" s="7" t="s">
        <v>50</v>
      </c>
      <c r="C19" s="7" t="s">
        <v>51</v>
      </c>
      <c r="D19" s="8">
        <v>315</v>
      </c>
    </row>
    <row r="20" spans="1:4" hidden="1" outlineLevel="1" x14ac:dyDescent="0.3">
      <c r="A20" s="14">
        <v>46091</v>
      </c>
      <c r="B20" s="7" t="s">
        <v>50</v>
      </c>
      <c r="C20" s="7" t="s">
        <v>51</v>
      </c>
      <c r="D20" s="8">
        <v>720</v>
      </c>
    </row>
    <row r="21" spans="1:4" hidden="1" outlineLevel="1" x14ac:dyDescent="0.3">
      <c r="A21" s="14">
        <v>46091</v>
      </c>
      <c r="B21" s="7" t="s">
        <v>50</v>
      </c>
      <c r="C21" s="7" t="s">
        <v>51</v>
      </c>
      <c r="D21" s="8">
        <v>720</v>
      </c>
    </row>
    <row r="22" spans="1:4" hidden="1" outlineLevel="1" x14ac:dyDescent="0.3">
      <c r="A22" s="14">
        <v>46091</v>
      </c>
      <c r="B22" s="7" t="s">
        <v>50</v>
      </c>
      <c r="C22" s="7" t="s">
        <v>51</v>
      </c>
      <c r="D22" s="8">
        <v>720</v>
      </c>
    </row>
    <row r="23" spans="1:4" hidden="1" outlineLevel="1" x14ac:dyDescent="0.3">
      <c r="A23" s="14">
        <v>46091</v>
      </c>
      <c r="B23" s="7" t="s">
        <v>50</v>
      </c>
      <c r="C23" s="7" t="s">
        <v>51</v>
      </c>
      <c r="D23" s="8">
        <v>720</v>
      </c>
    </row>
    <row r="24" spans="1:4" hidden="1" outlineLevel="1" x14ac:dyDescent="0.3">
      <c r="A24" s="14">
        <v>46091</v>
      </c>
      <c r="B24" s="7" t="s">
        <v>50</v>
      </c>
      <c r="C24" s="7" t="s">
        <v>51</v>
      </c>
      <c r="D24" s="8">
        <v>720</v>
      </c>
    </row>
    <row r="25" spans="1:4" hidden="1" outlineLevel="1" x14ac:dyDescent="0.3">
      <c r="A25" s="14">
        <v>46091</v>
      </c>
      <c r="B25" s="7" t="s">
        <v>50</v>
      </c>
      <c r="C25" s="7" t="s">
        <v>51</v>
      </c>
      <c r="D25" s="8">
        <v>720</v>
      </c>
    </row>
    <row r="26" spans="1:4" hidden="1" outlineLevel="1" x14ac:dyDescent="0.3">
      <c r="A26" s="14">
        <v>46091</v>
      </c>
      <c r="B26" s="7" t="s">
        <v>50</v>
      </c>
      <c r="C26" s="7" t="s">
        <v>51</v>
      </c>
      <c r="D26" s="8">
        <v>1485</v>
      </c>
    </row>
    <row r="27" spans="1:4" hidden="1" outlineLevel="1" x14ac:dyDescent="0.3">
      <c r="A27" s="14">
        <v>46091</v>
      </c>
      <c r="B27" s="7" t="s">
        <v>50</v>
      </c>
      <c r="C27" s="7" t="s">
        <v>51</v>
      </c>
      <c r="D27" s="8">
        <v>1485</v>
      </c>
    </row>
    <row r="28" spans="1:4" hidden="1" outlineLevel="1" x14ac:dyDescent="0.3">
      <c r="A28" s="14">
        <v>46091</v>
      </c>
      <c r="B28" s="7" t="s">
        <v>50</v>
      </c>
      <c r="C28" s="7" t="s">
        <v>51</v>
      </c>
      <c r="D28" s="8">
        <v>1485</v>
      </c>
    </row>
    <row r="29" spans="1:4" hidden="1" outlineLevel="1" x14ac:dyDescent="0.3">
      <c r="A29" s="14">
        <v>46093</v>
      </c>
      <c r="B29" s="7" t="s">
        <v>46</v>
      </c>
      <c r="C29" s="7"/>
      <c r="D29" s="8">
        <v>13904.16</v>
      </c>
    </row>
    <row r="30" spans="1:4" hidden="1" outlineLevel="1" x14ac:dyDescent="0.3">
      <c r="A30" s="14">
        <v>46093</v>
      </c>
      <c r="B30" s="7" t="s">
        <v>50</v>
      </c>
      <c r="C30" s="7" t="s">
        <v>51</v>
      </c>
      <c r="D30" s="8">
        <v>720</v>
      </c>
    </row>
    <row r="31" spans="1:4" hidden="1" outlineLevel="1" x14ac:dyDescent="0.3">
      <c r="A31" s="14">
        <v>46093</v>
      </c>
      <c r="B31" s="7" t="s">
        <v>50</v>
      </c>
      <c r="C31" s="7" t="s">
        <v>51</v>
      </c>
      <c r="D31" s="8">
        <v>1485</v>
      </c>
    </row>
    <row r="32" spans="1:4" hidden="1" outlineLevel="1" x14ac:dyDescent="0.3">
      <c r="A32" s="14">
        <v>46093</v>
      </c>
      <c r="B32" s="7" t="s">
        <v>50</v>
      </c>
      <c r="C32" s="7" t="s">
        <v>51</v>
      </c>
      <c r="D32" s="8">
        <v>1485</v>
      </c>
    </row>
    <row r="33" spans="1:4" hidden="1" outlineLevel="1" x14ac:dyDescent="0.3">
      <c r="A33" s="14">
        <v>46093</v>
      </c>
      <c r="B33" s="7" t="s">
        <v>50</v>
      </c>
      <c r="C33" s="7" t="s">
        <v>51</v>
      </c>
      <c r="D33" s="8">
        <v>1485</v>
      </c>
    </row>
    <row r="34" spans="1:4" hidden="1" outlineLevel="1" x14ac:dyDescent="0.3">
      <c r="A34" s="14">
        <v>46093</v>
      </c>
      <c r="B34" s="7" t="s">
        <v>50</v>
      </c>
      <c r="C34" s="7" t="s">
        <v>51</v>
      </c>
      <c r="D34" s="8">
        <v>1485</v>
      </c>
    </row>
    <row r="35" spans="1:4" hidden="1" outlineLevel="1" x14ac:dyDescent="0.3">
      <c r="A35" s="14">
        <v>46093</v>
      </c>
      <c r="B35" s="7" t="s">
        <v>50</v>
      </c>
      <c r="C35" s="7" t="s">
        <v>51</v>
      </c>
      <c r="D35" s="8">
        <v>1485</v>
      </c>
    </row>
    <row r="36" spans="1:4" hidden="1" outlineLevel="1" x14ac:dyDescent="0.3">
      <c r="A36" s="14">
        <v>46094</v>
      </c>
      <c r="B36" s="7" t="s">
        <v>50</v>
      </c>
      <c r="C36" s="7" t="s">
        <v>51</v>
      </c>
      <c r="D36" s="8">
        <v>1485</v>
      </c>
    </row>
    <row r="37" spans="1:4" hidden="1" outlineLevel="1" x14ac:dyDescent="0.3">
      <c r="A37" s="14">
        <v>46098</v>
      </c>
      <c r="B37" s="7" t="s">
        <v>50</v>
      </c>
      <c r="C37" s="7" t="s">
        <v>51</v>
      </c>
      <c r="D37" s="8">
        <v>315</v>
      </c>
    </row>
    <row r="38" spans="1:4" hidden="1" outlineLevel="1" x14ac:dyDescent="0.3">
      <c r="A38" s="14">
        <v>46098</v>
      </c>
      <c r="B38" s="7" t="s">
        <v>50</v>
      </c>
      <c r="C38" s="7" t="s">
        <v>51</v>
      </c>
      <c r="D38" s="8">
        <v>720</v>
      </c>
    </row>
    <row r="39" spans="1:4" hidden="1" outlineLevel="1" x14ac:dyDescent="0.3">
      <c r="A39" s="14">
        <v>46098</v>
      </c>
      <c r="B39" s="7" t="s">
        <v>50</v>
      </c>
      <c r="C39" s="7" t="s">
        <v>51</v>
      </c>
      <c r="D39" s="8">
        <v>720</v>
      </c>
    </row>
    <row r="40" spans="1:4" hidden="1" outlineLevel="1" x14ac:dyDescent="0.3">
      <c r="A40" s="14">
        <v>46098</v>
      </c>
      <c r="B40" s="7" t="s">
        <v>50</v>
      </c>
      <c r="C40" s="7" t="s">
        <v>51</v>
      </c>
      <c r="D40" s="8">
        <v>720</v>
      </c>
    </row>
    <row r="41" spans="1:4" hidden="1" outlineLevel="1" x14ac:dyDescent="0.3">
      <c r="A41" s="14">
        <v>46098</v>
      </c>
      <c r="B41" s="7" t="s">
        <v>50</v>
      </c>
      <c r="C41" s="7" t="s">
        <v>51</v>
      </c>
      <c r="D41" s="8">
        <v>1485</v>
      </c>
    </row>
    <row r="42" spans="1:4" hidden="1" outlineLevel="1" x14ac:dyDescent="0.3">
      <c r="A42" s="14">
        <v>46099</v>
      </c>
      <c r="B42" s="7" t="s">
        <v>46</v>
      </c>
      <c r="C42" s="7"/>
      <c r="D42" s="8">
        <v>41472.959999999999</v>
      </c>
    </row>
    <row r="43" spans="1:4" hidden="1" outlineLevel="1" x14ac:dyDescent="0.3">
      <c r="A43" s="14">
        <v>46099</v>
      </c>
      <c r="B43" s="7" t="s">
        <v>50</v>
      </c>
      <c r="C43" s="7" t="s">
        <v>51</v>
      </c>
      <c r="D43" s="8">
        <v>1485</v>
      </c>
    </row>
    <row r="44" spans="1:4" hidden="1" outlineLevel="1" x14ac:dyDescent="0.3">
      <c r="A44" s="14">
        <v>46100</v>
      </c>
      <c r="B44" s="7" t="s">
        <v>46</v>
      </c>
      <c r="C44" s="7"/>
      <c r="D44" s="8">
        <v>2835</v>
      </c>
    </row>
    <row r="45" spans="1:4" hidden="1" outlineLevel="1" x14ac:dyDescent="0.3">
      <c r="A45" s="14">
        <v>46100</v>
      </c>
      <c r="B45" s="7" t="s">
        <v>50</v>
      </c>
      <c r="C45" s="7" t="s">
        <v>51</v>
      </c>
      <c r="D45" s="8">
        <v>720</v>
      </c>
    </row>
    <row r="46" spans="1:4" hidden="1" outlineLevel="1" x14ac:dyDescent="0.3">
      <c r="A46" s="14">
        <v>46100</v>
      </c>
      <c r="B46" s="7" t="s">
        <v>50</v>
      </c>
      <c r="C46" s="7" t="s">
        <v>51</v>
      </c>
      <c r="D46" s="8">
        <v>720</v>
      </c>
    </row>
    <row r="47" spans="1:4" hidden="1" outlineLevel="1" x14ac:dyDescent="0.3">
      <c r="A47" s="14">
        <v>46100</v>
      </c>
      <c r="B47" s="7" t="s">
        <v>50</v>
      </c>
      <c r="C47" s="7" t="s">
        <v>51</v>
      </c>
      <c r="D47" s="8">
        <v>720</v>
      </c>
    </row>
    <row r="48" spans="1:4" hidden="1" outlineLevel="1" x14ac:dyDescent="0.3">
      <c r="A48" s="14">
        <v>46100</v>
      </c>
      <c r="B48" s="7" t="s">
        <v>50</v>
      </c>
      <c r="C48" s="7" t="s">
        <v>51</v>
      </c>
      <c r="D48" s="8">
        <v>1485</v>
      </c>
    </row>
    <row r="49" spans="1:4" hidden="1" outlineLevel="1" x14ac:dyDescent="0.3">
      <c r="A49" s="14">
        <v>46101</v>
      </c>
      <c r="B49" s="7" t="s">
        <v>46</v>
      </c>
      <c r="C49" s="7"/>
      <c r="D49" s="8">
        <v>2835</v>
      </c>
    </row>
    <row r="50" spans="1:4" hidden="1" outlineLevel="1" x14ac:dyDescent="0.3">
      <c r="A50" s="14">
        <v>46106</v>
      </c>
      <c r="B50" s="7" t="s">
        <v>50</v>
      </c>
      <c r="C50" s="7" t="s">
        <v>51</v>
      </c>
      <c r="D50" s="8">
        <v>720</v>
      </c>
    </row>
    <row r="51" spans="1:4" hidden="1" outlineLevel="1" x14ac:dyDescent="0.3">
      <c r="A51" s="14">
        <v>46106</v>
      </c>
      <c r="B51" s="7" t="s">
        <v>50</v>
      </c>
      <c r="C51" s="7" t="s">
        <v>51</v>
      </c>
      <c r="D51" s="8">
        <v>720</v>
      </c>
    </row>
    <row r="52" spans="1:4" hidden="1" outlineLevel="1" x14ac:dyDescent="0.3">
      <c r="A52" s="14">
        <v>46106</v>
      </c>
      <c r="B52" s="7" t="s">
        <v>50</v>
      </c>
      <c r="C52" s="7" t="s">
        <v>51</v>
      </c>
      <c r="D52" s="8">
        <v>1485</v>
      </c>
    </row>
    <row r="53" spans="1:4" hidden="1" outlineLevel="1" x14ac:dyDescent="0.3">
      <c r="A53" s="14">
        <v>46106</v>
      </c>
      <c r="B53" s="7" t="s">
        <v>50</v>
      </c>
      <c r="C53" s="7" t="s">
        <v>51</v>
      </c>
      <c r="D53" s="8">
        <v>1485</v>
      </c>
    </row>
    <row r="54" spans="1:4" hidden="1" outlineLevel="1" x14ac:dyDescent="0.3">
      <c r="A54" s="14">
        <v>46106</v>
      </c>
      <c r="B54" s="7" t="s">
        <v>50</v>
      </c>
      <c r="C54" s="7" t="s">
        <v>51</v>
      </c>
      <c r="D54" s="8">
        <v>1485</v>
      </c>
    </row>
    <row r="55" spans="1:4" hidden="1" outlineLevel="1" x14ac:dyDescent="0.3">
      <c r="A55" s="14">
        <v>46106</v>
      </c>
      <c r="B55" s="7" t="s">
        <v>50</v>
      </c>
      <c r="C55" s="7" t="s">
        <v>51</v>
      </c>
      <c r="D55" s="8">
        <v>1485</v>
      </c>
    </row>
    <row r="56" spans="1:4" hidden="1" outlineLevel="1" x14ac:dyDescent="0.3">
      <c r="A56" s="14">
        <v>46106</v>
      </c>
      <c r="B56" s="7" t="s">
        <v>50</v>
      </c>
      <c r="C56" s="7" t="s">
        <v>51</v>
      </c>
      <c r="D56" s="8">
        <v>1485</v>
      </c>
    </row>
    <row r="57" spans="1:4" hidden="1" outlineLevel="1" x14ac:dyDescent="0.3">
      <c r="A57" s="14">
        <v>46106</v>
      </c>
      <c r="B57" s="7" t="s">
        <v>50</v>
      </c>
      <c r="C57" s="7" t="s">
        <v>51</v>
      </c>
      <c r="D57" s="8">
        <v>1485</v>
      </c>
    </row>
    <row r="58" spans="1:4" hidden="1" outlineLevel="1" x14ac:dyDescent="0.3">
      <c r="A58" s="14">
        <v>46107</v>
      </c>
      <c r="B58" s="7" t="s">
        <v>46</v>
      </c>
      <c r="C58" s="7"/>
      <c r="D58" s="8">
        <v>24013.439999999999</v>
      </c>
    </row>
    <row r="59" spans="1:4" hidden="1" outlineLevel="1" x14ac:dyDescent="0.3">
      <c r="A59" s="14">
        <v>46111</v>
      </c>
      <c r="B59" s="7" t="s">
        <v>57</v>
      </c>
      <c r="C59" s="7"/>
      <c r="D59" s="8">
        <v>57500</v>
      </c>
    </row>
    <row r="60" spans="1:4" hidden="1" outlineLevel="1" x14ac:dyDescent="0.3">
      <c r="A60" s="14">
        <v>46111</v>
      </c>
      <c r="B60" s="7" t="s">
        <v>58</v>
      </c>
      <c r="C60" s="7"/>
      <c r="D60" s="8">
        <v>13825</v>
      </c>
    </row>
    <row r="61" spans="1:4" hidden="1" outlineLevel="1" x14ac:dyDescent="0.3">
      <c r="A61" s="14">
        <v>46111</v>
      </c>
      <c r="B61" s="7" t="s">
        <v>50</v>
      </c>
      <c r="C61" s="7" t="s">
        <v>51</v>
      </c>
      <c r="D61" s="8">
        <v>720</v>
      </c>
    </row>
    <row r="62" spans="1:4" hidden="1" outlineLevel="1" x14ac:dyDescent="0.3">
      <c r="A62" s="14">
        <v>46111</v>
      </c>
      <c r="B62" s="7" t="s">
        <v>50</v>
      </c>
      <c r="C62" s="7" t="s">
        <v>51</v>
      </c>
      <c r="D62" s="8">
        <v>1485</v>
      </c>
    </row>
    <row r="63" spans="1:4" hidden="1" outlineLevel="1" x14ac:dyDescent="0.3">
      <c r="A63" s="14">
        <v>46111</v>
      </c>
      <c r="B63" s="7" t="s">
        <v>50</v>
      </c>
      <c r="C63" s="7" t="s">
        <v>51</v>
      </c>
      <c r="D63" s="8">
        <v>1485</v>
      </c>
    </row>
    <row r="64" spans="1:4" collapsed="1" x14ac:dyDescent="0.3">
      <c r="A64" s="15"/>
      <c r="B64" s="15"/>
      <c r="C64" s="16" t="s">
        <v>69</v>
      </c>
      <c r="D64" s="17">
        <f>SUM(D5:D63)</f>
        <v>239074.83000000002</v>
      </c>
    </row>
    <row r="66" spans="1:4" ht="15.6" x14ac:dyDescent="0.3">
      <c r="A66" s="81" t="s">
        <v>23</v>
      </c>
      <c r="B66" s="79"/>
      <c r="C66" s="79"/>
      <c r="D66" s="79"/>
    </row>
    <row r="67" spans="1:4" x14ac:dyDescent="0.3">
      <c r="A67" s="13" t="s">
        <v>28</v>
      </c>
      <c r="B67" s="13" t="s">
        <v>66</v>
      </c>
      <c r="C67" s="13" t="s">
        <v>67</v>
      </c>
      <c r="D67" s="13" t="s">
        <v>68</v>
      </c>
    </row>
    <row r="68" spans="1:4" outlineLevel="1" x14ac:dyDescent="0.3">
      <c r="A68" s="14">
        <v>46084</v>
      </c>
      <c r="B68" s="7" t="s">
        <v>48</v>
      </c>
      <c r="C68" s="7"/>
      <c r="D68" s="8">
        <v>3877.27</v>
      </c>
    </row>
    <row r="69" spans="1:4" outlineLevel="1" x14ac:dyDescent="0.3">
      <c r="A69" s="14">
        <v>46084</v>
      </c>
      <c r="B69" s="7" t="s">
        <v>49</v>
      </c>
      <c r="C69" s="7"/>
      <c r="D69" s="8">
        <v>553.9</v>
      </c>
    </row>
    <row r="70" spans="1:4" outlineLevel="1" x14ac:dyDescent="0.3">
      <c r="A70" s="14">
        <v>46084</v>
      </c>
      <c r="B70" s="7" t="s">
        <v>48</v>
      </c>
      <c r="C70" s="7"/>
      <c r="D70" s="8">
        <v>311.85000000000002</v>
      </c>
    </row>
    <row r="71" spans="1:4" outlineLevel="1" x14ac:dyDescent="0.3">
      <c r="A71" s="14">
        <v>46086</v>
      </c>
      <c r="B71" s="7" t="s">
        <v>48</v>
      </c>
      <c r="C71" s="7"/>
      <c r="D71" s="8">
        <v>25.2</v>
      </c>
    </row>
    <row r="72" spans="1:4" outlineLevel="1" x14ac:dyDescent="0.3">
      <c r="A72" s="14">
        <v>46086</v>
      </c>
      <c r="B72" s="7" t="s">
        <v>48</v>
      </c>
      <c r="C72" s="7"/>
      <c r="D72" s="8">
        <v>25.2</v>
      </c>
    </row>
    <row r="73" spans="1:4" outlineLevel="1" x14ac:dyDescent="0.3">
      <c r="A73" s="14">
        <v>46086</v>
      </c>
      <c r="B73" s="7" t="s">
        <v>48</v>
      </c>
      <c r="C73" s="7"/>
      <c r="D73" s="8">
        <v>151.19999999999999</v>
      </c>
    </row>
    <row r="74" spans="1:4" outlineLevel="1" x14ac:dyDescent="0.3">
      <c r="A74" s="14">
        <v>46086</v>
      </c>
      <c r="B74" s="7" t="s">
        <v>48</v>
      </c>
      <c r="C74" s="7"/>
      <c r="D74" s="8">
        <v>311.85000000000002</v>
      </c>
    </row>
    <row r="75" spans="1:4" outlineLevel="1" x14ac:dyDescent="0.3">
      <c r="A75" s="14">
        <v>46086</v>
      </c>
      <c r="B75" s="7" t="s">
        <v>48</v>
      </c>
      <c r="C75" s="7"/>
      <c r="D75" s="8">
        <v>311.85000000000002</v>
      </c>
    </row>
    <row r="76" spans="1:4" outlineLevel="1" x14ac:dyDescent="0.3">
      <c r="A76" s="14">
        <v>46086</v>
      </c>
      <c r="B76" s="7" t="s">
        <v>48</v>
      </c>
      <c r="C76" s="7"/>
      <c r="D76" s="8">
        <v>311.85000000000002</v>
      </c>
    </row>
    <row r="77" spans="1:4" outlineLevel="1" x14ac:dyDescent="0.3">
      <c r="A77" s="14">
        <v>46086</v>
      </c>
      <c r="B77" s="7" t="s">
        <v>48</v>
      </c>
      <c r="C77" s="7"/>
      <c r="D77" s="8">
        <v>311.85000000000002</v>
      </c>
    </row>
    <row r="78" spans="1:4" outlineLevel="1" x14ac:dyDescent="0.3">
      <c r="A78" s="14">
        <v>46090</v>
      </c>
      <c r="B78" s="7" t="s">
        <v>48</v>
      </c>
      <c r="C78" s="7"/>
      <c r="D78" s="8">
        <v>920.02</v>
      </c>
    </row>
    <row r="79" spans="1:4" outlineLevel="1" x14ac:dyDescent="0.3">
      <c r="A79" s="14">
        <v>46090</v>
      </c>
      <c r="B79" s="7" t="s">
        <v>49</v>
      </c>
      <c r="C79" s="7"/>
      <c r="D79" s="8">
        <v>131.43</v>
      </c>
    </row>
    <row r="80" spans="1:4" outlineLevel="1" x14ac:dyDescent="0.3">
      <c r="A80" s="14">
        <v>46090</v>
      </c>
      <c r="B80" s="7" t="s">
        <v>48</v>
      </c>
      <c r="C80" s="7"/>
      <c r="D80" s="8">
        <v>151.19999999999999</v>
      </c>
    </row>
    <row r="81" spans="1:4" outlineLevel="1" x14ac:dyDescent="0.3">
      <c r="A81" s="14">
        <v>46091</v>
      </c>
      <c r="B81" s="7" t="s">
        <v>48</v>
      </c>
      <c r="C81" s="7"/>
      <c r="D81" s="8">
        <v>1734.6</v>
      </c>
    </row>
    <row r="82" spans="1:4" outlineLevel="1" x14ac:dyDescent="0.3">
      <c r="A82" s="14">
        <v>46091</v>
      </c>
      <c r="B82" s="7" t="s">
        <v>49</v>
      </c>
      <c r="C82" s="7"/>
      <c r="D82" s="8">
        <v>247.8</v>
      </c>
    </row>
    <row r="83" spans="1:4" outlineLevel="1" x14ac:dyDescent="0.3">
      <c r="A83" s="14">
        <v>46091</v>
      </c>
      <c r="B83" s="7" t="s">
        <v>48</v>
      </c>
      <c r="C83" s="7"/>
      <c r="D83" s="8">
        <v>66.150000000000006</v>
      </c>
    </row>
    <row r="84" spans="1:4" outlineLevel="1" x14ac:dyDescent="0.3">
      <c r="A84" s="14">
        <v>46091</v>
      </c>
      <c r="B84" s="7" t="s">
        <v>48</v>
      </c>
      <c r="C84" s="7"/>
      <c r="D84" s="8">
        <v>66.150000000000006</v>
      </c>
    </row>
    <row r="85" spans="1:4" outlineLevel="1" x14ac:dyDescent="0.3">
      <c r="A85" s="14">
        <v>46091</v>
      </c>
      <c r="B85" s="7" t="s">
        <v>48</v>
      </c>
      <c r="C85" s="7"/>
      <c r="D85" s="8">
        <v>66.150000000000006</v>
      </c>
    </row>
    <row r="86" spans="1:4" outlineLevel="1" x14ac:dyDescent="0.3">
      <c r="A86" s="14">
        <v>46091</v>
      </c>
      <c r="B86" s="7" t="s">
        <v>48</v>
      </c>
      <c r="C86" s="7"/>
      <c r="D86" s="8">
        <v>151.19999999999999</v>
      </c>
    </row>
    <row r="87" spans="1:4" outlineLevel="1" x14ac:dyDescent="0.3">
      <c r="A87" s="14">
        <v>46091</v>
      </c>
      <c r="B87" s="7" t="s">
        <v>48</v>
      </c>
      <c r="C87" s="7"/>
      <c r="D87" s="8">
        <v>151.19999999999999</v>
      </c>
    </row>
    <row r="88" spans="1:4" outlineLevel="1" x14ac:dyDescent="0.3">
      <c r="A88" s="14">
        <v>46091</v>
      </c>
      <c r="B88" s="7" t="s">
        <v>48</v>
      </c>
      <c r="C88" s="7"/>
      <c r="D88" s="8">
        <v>151.19999999999999</v>
      </c>
    </row>
    <row r="89" spans="1:4" outlineLevel="1" x14ac:dyDescent="0.3">
      <c r="A89" s="14">
        <v>46091</v>
      </c>
      <c r="B89" s="7" t="s">
        <v>48</v>
      </c>
      <c r="C89" s="7"/>
      <c r="D89" s="8">
        <v>151.19999999999999</v>
      </c>
    </row>
    <row r="90" spans="1:4" outlineLevel="1" x14ac:dyDescent="0.3">
      <c r="A90" s="14">
        <v>46091</v>
      </c>
      <c r="B90" s="7" t="s">
        <v>48</v>
      </c>
      <c r="C90" s="7"/>
      <c r="D90" s="8">
        <v>151.19999999999999</v>
      </c>
    </row>
    <row r="91" spans="1:4" outlineLevel="1" x14ac:dyDescent="0.3">
      <c r="A91" s="14">
        <v>46091</v>
      </c>
      <c r="B91" s="7" t="s">
        <v>48</v>
      </c>
      <c r="C91" s="7"/>
      <c r="D91" s="8">
        <v>151.19999999999999</v>
      </c>
    </row>
    <row r="92" spans="1:4" outlineLevel="1" x14ac:dyDescent="0.3">
      <c r="A92" s="14">
        <v>46091</v>
      </c>
      <c r="B92" s="7" t="s">
        <v>48</v>
      </c>
      <c r="C92" s="7"/>
      <c r="D92" s="8">
        <v>311.85000000000002</v>
      </c>
    </row>
    <row r="93" spans="1:4" outlineLevel="1" x14ac:dyDescent="0.3">
      <c r="A93" s="14">
        <v>46091</v>
      </c>
      <c r="B93" s="7" t="s">
        <v>48</v>
      </c>
      <c r="C93" s="7"/>
      <c r="D93" s="8">
        <v>311.85000000000002</v>
      </c>
    </row>
    <row r="94" spans="1:4" outlineLevel="1" x14ac:dyDescent="0.3">
      <c r="A94" s="14">
        <v>46091</v>
      </c>
      <c r="B94" s="7" t="s">
        <v>48</v>
      </c>
      <c r="C94" s="7"/>
      <c r="D94" s="8">
        <v>311.85000000000002</v>
      </c>
    </row>
    <row r="95" spans="1:4" outlineLevel="1" x14ac:dyDescent="0.3">
      <c r="A95" s="14">
        <v>46093</v>
      </c>
      <c r="B95" s="7" t="s">
        <v>48</v>
      </c>
      <c r="C95" s="7"/>
      <c r="D95" s="8">
        <v>2919.87</v>
      </c>
    </row>
    <row r="96" spans="1:4" outlineLevel="1" x14ac:dyDescent="0.3">
      <c r="A96" s="14">
        <v>46093</v>
      </c>
      <c r="B96" s="7" t="s">
        <v>49</v>
      </c>
      <c r="C96" s="7"/>
      <c r="D96" s="8">
        <v>417.12</v>
      </c>
    </row>
    <row r="97" spans="1:4" outlineLevel="1" x14ac:dyDescent="0.3">
      <c r="A97" s="14">
        <v>46093</v>
      </c>
      <c r="B97" s="7" t="s">
        <v>48</v>
      </c>
      <c r="C97" s="7"/>
      <c r="D97" s="8">
        <v>151.19999999999999</v>
      </c>
    </row>
    <row r="98" spans="1:4" outlineLevel="1" x14ac:dyDescent="0.3">
      <c r="A98" s="14">
        <v>46093</v>
      </c>
      <c r="B98" s="7" t="s">
        <v>48</v>
      </c>
      <c r="C98" s="7"/>
      <c r="D98" s="8">
        <v>311.85000000000002</v>
      </c>
    </row>
    <row r="99" spans="1:4" outlineLevel="1" x14ac:dyDescent="0.3">
      <c r="A99" s="14">
        <v>46093</v>
      </c>
      <c r="B99" s="7" t="s">
        <v>48</v>
      </c>
      <c r="C99" s="7"/>
      <c r="D99" s="8">
        <v>311.85000000000002</v>
      </c>
    </row>
    <row r="100" spans="1:4" outlineLevel="1" x14ac:dyDescent="0.3">
      <c r="A100" s="14">
        <v>46093</v>
      </c>
      <c r="B100" s="7" t="s">
        <v>48</v>
      </c>
      <c r="C100" s="7"/>
      <c r="D100" s="8">
        <v>311.85000000000002</v>
      </c>
    </row>
    <row r="101" spans="1:4" outlineLevel="1" x14ac:dyDescent="0.3">
      <c r="A101" s="14">
        <v>46093</v>
      </c>
      <c r="B101" s="7" t="s">
        <v>48</v>
      </c>
      <c r="C101" s="7"/>
      <c r="D101" s="8">
        <v>311.85000000000002</v>
      </c>
    </row>
    <row r="102" spans="1:4" outlineLevel="1" x14ac:dyDescent="0.3">
      <c r="A102" s="14">
        <v>46093</v>
      </c>
      <c r="B102" s="7" t="s">
        <v>48</v>
      </c>
      <c r="C102" s="7"/>
      <c r="D102" s="8">
        <v>311.85000000000002</v>
      </c>
    </row>
    <row r="103" spans="1:4" outlineLevel="1" x14ac:dyDescent="0.3">
      <c r="A103" s="14">
        <v>46094</v>
      </c>
      <c r="B103" s="7" t="s">
        <v>48</v>
      </c>
      <c r="C103" s="7"/>
      <c r="D103" s="8">
        <v>311.85000000000002</v>
      </c>
    </row>
    <row r="104" spans="1:4" outlineLevel="1" x14ac:dyDescent="0.3">
      <c r="A104" s="14">
        <v>46098</v>
      </c>
      <c r="B104" s="7" t="s">
        <v>48</v>
      </c>
      <c r="C104" s="7"/>
      <c r="D104" s="8">
        <v>66.150000000000006</v>
      </c>
    </row>
    <row r="105" spans="1:4" outlineLevel="1" x14ac:dyDescent="0.3">
      <c r="A105" s="14">
        <v>46098</v>
      </c>
      <c r="B105" s="7" t="s">
        <v>48</v>
      </c>
      <c r="C105" s="7"/>
      <c r="D105" s="8">
        <v>151.19999999999999</v>
      </c>
    </row>
    <row r="106" spans="1:4" outlineLevel="1" x14ac:dyDescent="0.3">
      <c r="A106" s="14">
        <v>46098</v>
      </c>
      <c r="B106" s="7" t="s">
        <v>48</v>
      </c>
      <c r="C106" s="7"/>
      <c r="D106" s="8">
        <v>151.19999999999999</v>
      </c>
    </row>
    <row r="107" spans="1:4" outlineLevel="1" x14ac:dyDescent="0.3">
      <c r="A107" s="14">
        <v>46098</v>
      </c>
      <c r="B107" s="7" t="s">
        <v>48</v>
      </c>
      <c r="C107" s="7"/>
      <c r="D107" s="8">
        <v>151.19999999999999</v>
      </c>
    </row>
    <row r="108" spans="1:4" outlineLevel="1" x14ac:dyDescent="0.3">
      <c r="A108" s="14">
        <v>46098</v>
      </c>
      <c r="B108" s="7" t="s">
        <v>48</v>
      </c>
      <c r="C108" s="7"/>
      <c r="D108" s="8">
        <v>311.85000000000002</v>
      </c>
    </row>
    <row r="109" spans="1:4" outlineLevel="1" x14ac:dyDescent="0.3">
      <c r="A109" s="14">
        <v>46099</v>
      </c>
      <c r="B109" s="7" t="s">
        <v>48</v>
      </c>
      <c r="C109" s="7"/>
      <c r="D109" s="8">
        <v>8709.32</v>
      </c>
    </row>
    <row r="110" spans="1:4" outlineLevel="1" x14ac:dyDescent="0.3">
      <c r="A110" s="14">
        <v>46099</v>
      </c>
      <c r="B110" s="7" t="s">
        <v>49</v>
      </c>
      <c r="C110" s="7"/>
      <c r="D110" s="8">
        <v>1244.19</v>
      </c>
    </row>
    <row r="111" spans="1:4" outlineLevel="1" x14ac:dyDescent="0.3">
      <c r="A111" s="14">
        <v>46099</v>
      </c>
      <c r="B111" s="7" t="s">
        <v>48</v>
      </c>
      <c r="C111" s="7"/>
      <c r="D111" s="8">
        <v>311.85000000000002</v>
      </c>
    </row>
    <row r="112" spans="1:4" outlineLevel="1" x14ac:dyDescent="0.3">
      <c r="A112" s="14">
        <v>46100</v>
      </c>
      <c r="B112" s="7" t="s">
        <v>48</v>
      </c>
      <c r="C112" s="7"/>
      <c r="D112" s="8">
        <v>595.35</v>
      </c>
    </row>
    <row r="113" spans="1:4" outlineLevel="1" x14ac:dyDescent="0.3">
      <c r="A113" s="14">
        <v>46100</v>
      </c>
      <c r="B113" s="7" t="s">
        <v>49</v>
      </c>
      <c r="C113" s="7"/>
      <c r="D113" s="8">
        <v>85.05</v>
      </c>
    </row>
    <row r="114" spans="1:4" outlineLevel="1" x14ac:dyDescent="0.3">
      <c r="A114" s="14">
        <v>46100</v>
      </c>
      <c r="B114" s="7" t="s">
        <v>48</v>
      </c>
      <c r="C114" s="7"/>
      <c r="D114" s="8">
        <v>151.19999999999999</v>
      </c>
    </row>
    <row r="115" spans="1:4" outlineLevel="1" x14ac:dyDescent="0.3">
      <c r="A115" s="14">
        <v>46100</v>
      </c>
      <c r="B115" s="7" t="s">
        <v>48</v>
      </c>
      <c r="C115" s="7"/>
      <c r="D115" s="8">
        <v>151.19999999999999</v>
      </c>
    </row>
    <row r="116" spans="1:4" outlineLevel="1" x14ac:dyDescent="0.3">
      <c r="A116" s="14">
        <v>46100</v>
      </c>
      <c r="B116" s="7" t="s">
        <v>48</v>
      </c>
      <c r="C116" s="7"/>
      <c r="D116" s="8">
        <v>151.19999999999999</v>
      </c>
    </row>
    <row r="117" spans="1:4" outlineLevel="1" x14ac:dyDescent="0.3">
      <c r="A117" s="14">
        <v>46100</v>
      </c>
      <c r="B117" s="7" t="s">
        <v>48</v>
      </c>
      <c r="C117" s="7"/>
      <c r="D117" s="8">
        <v>311.85000000000002</v>
      </c>
    </row>
    <row r="118" spans="1:4" outlineLevel="1" x14ac:dyDescent="0.3">
      <c r="A118" s="14">
        <v>46101</v>
      </c>
      <c r="B118" s="7" t="s">
        <v>48</v>
      </c>
      <c r="C118" s="7"/>
      <c r="D118" s="8">
        <v>595.35</v>
      </c>
    </row>
    <row r="119" spans="1:4" outlineLevel="1" x14ac:dyDescent="0.3">
      <c r="A119" s="14">
        <v>46101</v>
      </c>
      <c r="B119" s="7" t="s">
        <v>49</v>
      </c>
      <c r="C119" s="7"/>
      <c r="D119" s="8">
        <v>85.05</v>
      </c>
    </row>
    <row r="120" spans="1:4" outlineLevel="1" x14ac:dyDescent="0.3">
      <c r="A120" s="14">
        <v>46106</v>
      </c>
      <c r="B120" s="7" t="s">
        <v>48</v>
      </c>
      <c r="C120" s="7"/>
      <c r="D120" s="8">
        <v>151.19999999999999</v>
      </c>
    </row>
    <row r="121" spans="1:4" outlineLevel="1" x14ac:dyDescent="0.3">
      <c r="A121" s="14">
        <v>46106</v>
      </c>
      <c r="B121" s="7" t="s">
        <v>48</v>
      </c>
      <c r="C121" s="7"/>
      <c r="D121" s="8">
        <v>151.19999999999999</v>
      </c>
    </row>
    <row r="122" spans="1:4" outlineLevel="1" x14ac:dyDescent="0.3">
      <c r="A122" s="14">
        <v>46106</v>
      </c>
      <c r="B122" s="7" t="s">
        <v>48</v>
      </c>
      <c r="C122" s="7"/>
      <c r="D122" s="8">
        <v>311.85000000000002</v>
      </c>
    </row>
    <row r="123" spans="1:4" outlineLevel="1" x14ac:dyDescent="0.3">
      <c r="A123" s="14">
        <v>46106</v>
      </c>
      <c r="B123" s="7" t="s">
        <v>48</v>
      </c>
      <c r="C123" s="7"/>
      <c r="D123" s="8">
        <v>311.85000000000002</v>
      </c>
    </row>
    <row r="124" spans="1:4" outlineLevel="1" x14ac:dyDescent="0.3">
      <c r="A124" s="14">
        <v>46106</v>
      </c>
      <c r="B124" s="7" t="s">
        <v>48</v>
      </c>
      <c r="C124" s="7"/>
      <c r="D124" s="8">
        <v>311.85000000000002</v>
      </c>
    </row>
    <row r="125" spans="1:4" outlineLevel="1" x14ac:dyDescent="0.3">
      <c r="A125" s="14">
        <v>46106</v>
      </c>
      <c r="B125" s="7" t="s">
        <v>48</v>
      </c>
      <c r="C125" s="7"/>
      <c r="D125" s="8">
        <v>311.85000000000002</v>
      </c>
    </row>
    <row r="126" spans="1:4" outlineLevel="1" x14ac:dyDescent="0.3">
      <c r="A126" s="14">
        <v>46106</v>
      </c>
      <c r="B126" s="7" t="s">
        <v>48</v>
      </c>
      <c r="C126" s="7"/>
      <c r="D126" s="8">
        <v>311.85000000000002</v>
      </c>
    </row>
    <row r="127" spans="1:4" outlineLevel="1" x14ac:dyDescent="0.3">
      <c r="A127" s="14">
        <v>46106</v>
      </c>
      <c r="B127" s="7" t="s">
        <v>48</v>
      </c>
      <c r="C127" s="7"/>
      <c r="D127" s="8">
        <v>311.85000000000002</v>
      </c>
    </row>
    <row r="128" spans="1:4" outlineLevel="1" x14ac:dyDescent="0.3">
      <c r="A128" s="14">
        <v>46107</v>
      </c>
      <c r="B128" s="7" t="s">
        <v>48</v>
      </c>
      <c r="C128" s="7"/>
      <c r="D128" s="8">
        <v>5042.82</v>
      </c>
    </row>
    <row r="129" spans="1:5" outlineLevel="1" x14ac:dyDescent="0.3">
      <c r="A129" s="14">
        <v>46107</v>
      </c>
      <c r="B129" s="54" t="s">
        <v>49</v>
      </c>
      <c r="C129" s="7"/>
      <c r="D129" s="8">
        <v>720.4</v>
      </c>
      <c r="E129" s="52" t="s">
        <v>161</v>
      </c>
    </row>
    <row r="130" spans="1:5" outlineLevel="1" x14ac:dyDescent="0.3">
      <c r="A130" s="14">
        <v>46111</v>
      </c>
      <c r="B130" s="7" t="s">
        <v>48</v>
      </c>
      <c r="C130" s="7"/>
      <c r="D130" s="8">
        <v>12075</v>
      </c>
    </row>
    <row r="131" spans="1:5" outlineLevel="1" x14ac:dyDescent="0.3">
      <c r="A131" s="14">
        <v>46111</v>
      </c>
      <c r="B131" s="54" t="s">
        <v>49</v>
      </c>
      <c r="C131" s="7"/>
      <c r="D131" s="8">
        <v>1725</v>
      </c>
    </row>
    <row r="132" spans="1:5" outlineLevel="1" x14ac:dyDescent="0.3">
      <c r="A132" s="14">
        <v>46111</v>
      </c>
      <c r="B132" s="7" t="s">
        <v>48</v>
      </c>
      <c r="C132" s="7"/>
      <c r="D132" s="8">
        <v>2903.25</v>
      </c>
    </row>
    <row r="133" spans="1:5" outlineLevel="1" x14ac:dyDescent="0.3">
      <c r="A133" s="14">
        <v>46111</v>
      </c>
      <c r="B133" s="7" t="s">
        <v>49</v>
      </c>
      <c r="C133" s="7"/>
      <c r="D133" s="8">
        <v>414.75</v>
      </c>
    </row>
    <row r="134" spans="1:5" outlineLevel="1" x14ac:dyDescent="0.3">
      <c r="A134" s="14">
        <v>46111</v>
      </c>
      <c r="B134" s="7" t="s">
        <v>48</v>
      </c>
      <c r="C134" s="7"/>
      <c r="D134" s="8">
        <v>151.19999999999999</v>
      </c>
    </row>
    <row r="135" spans="1:5" outlineLevel="1" x14ac:dyDescent="0.3">
      <c r="A135" s="14">
        <v>46111</v>
      </c>
      <c r="B135" s="7" t="s">
        <v>48</v>
      </c>
      <c r="C135" s="7"/>
      <c r="D135" s="8">
        <v>311.85000000000002</v>
      </c>
    </row>
    <row r="136" spans="1:5" outlineLevel="1" x14ac:dyDescent="0.3">
      <c r="A136" s="14">
        <v>46111</v>
      </c>
      <c r="B136" s="7" t="s">
        <v>48</v>
      </c>
      <c r="C136" s="7"/>
      <c r="D136" s="8">
        <v>311.85000000000002</v>
      </c>
    </row>
    <row r="137" spans="1:5" x14ac:dyDescent="0.3">
      <c r="A137" s="15"/>
      <c r="B137" s="15"/>
      <c r="C137" s="16" t="s">
        <v>70</v>
      </c>
      <c r="D137" s="17">
        <f>SUM(D68:D136)</f>
        <v>55830.389999999992</v>
      </c>
    </row>
    <row r="139" spans="1:5" ht="15.6" x14ac:dyDescent="0.3">
      <c r="A139" s="81" t="s">
        <v>71</v>
      </c>
      <c r="B139" s="79"/>
      <c r="C139" s="79"/>
      <c r="D139" s="79"/>
    </row>
    <row r="140" spans="1:5" x14ac:dyDescent="0.3">
      <c r="A140" s="13" t="s">
        <v>28</v>
      </c>
      <c r="B140" s="13" t="s">
        <v>66</v>
      </c>
      <c r="C140" s="13" t="s">
        <v>67</v>
      </c>
      <c r="D140" s="13" t="s">
        <v>68</v>
      </c>
    </row>
    <row r="141" spans="1:5" hidden="1" outlineLevel="1" x14ac:dyDescent="0.3">
      <c r="A141" s="14">
        <v>46083</v>
      </c>
      <c r="B141" s="7" t="s">
        <v>43</v>
      </c>
      <c r="C141" s="7"/>
      <c r="D141" s="8">
        <v>16579.78</v>
      </c>
    </row>
    <row r="142" spans="1:5" hidden="1" outlineLevel="1" x14ac:dyDescent="0.3">
      <c r="A142" s="14">
        <v>46084</v>
      </c>
      <c r="B142" s="7" t="s">
        <v>43</v>
      </c>
      <c r="C142" s="7"/>
      <c r="D142" s="8">
        <v>103408.22</v>
      </c>
    </row>
    <row r="143" spans="1:5" hidden="1" outlineLevel="1" x14ac:dyDescent="0.3">
      <c r="A143" s="14">
        <v>46085</v>
      </c>
      <c r="B143" s="7" t="s">
        <v>43</v>
      </c>
      <c r="C143" s="7"/>
      <c r="D143" s="8">
        <v>1849.17</v>
      </c>
    </row>
    <row r="144" spans="1:5" hidden="1" outlineLevel="1" x14ac:dyDescent="0.3">
      <c r="A144" s="14">
        <v>46086</v>
      </c>
      <c r="B144" s="7" t="s">
        <v>43</v>
      </c>
      <c r="C144" s="7"/>
      <c r="D144" s="8">
        <v>31677.38</v>
      </c>
    </row>
    <row r="145" spans="1:4" hidden="1" outlineLevel="1" x14ac:dyDescent="0.3">
      <c r="A145" s="14">
        <v>46087</v>
      </c>
      <c r="B145" s="7" t="s">
        <v>43</v>
      </c>
      <c r="C145" s="7"/>
      <c r="D145" s="8">
        <v>41923.589999999997</v>
      </c>
    </row>
    <row r="146" spans="1:4" hidden="1" outlineLevel="1" x14ac:dyDescent="0.3">
      <c r="A146" s="14">
        <v>46090</v>
      </c>
      <c r="B146" s="7" t="s">
        <v>43</v>
      </c>
      <c r="C146" s="7"/>
      <c r="D146" s="8">
        <v>27099.32</v>
      </c>
    </row>
    <row r="147" spans="1:4" hidden="1" outlineLevel="1" x14ac:dyDescent="0.3">
      <c r="A147" s="14">
        <v>46091</v>
      </c>
      <c r="B147" s="7" t="s">
        <v>43</v>
      </c>
      <c r="C147" s="7"/>
      <c r="D147" s="8">
        <v>627894.27</v>
      </c>
    </row>
    <row r="148" spans="1:4" hidden="1" outlineLevel="1" x14ac:dyDescent="0.3">
      <c r="A148" s="14">
        <v>46092</v>
      </c>
      <c r="B148" s="7" t="s">
        <v>43</v>
      </c>
      <c r="C148" s="7"/>
      <c r="D148" s="8">
        <v>28560.46</v>
      </c>
    </row>
    <row r="149" spans="1:4" hidden="1" outlineLevel="1" x14ac:dyDescent="0.3">
      <c r="A149" s="14">
        <v>46093</v>
      </c>
      <c r="B149" s="7" t="s">
        <v>43</v>
      </c>
      <c r="C149" s="7"/>
      <c r="D149" s="8">
        <v>133806.09</v>
      </c>
    </row>
    <row r="150" spans="1:4" hidden="1" outlineLevel="1" x14ac:dyDescent="0.3">
      <c r="A150" s="14">
        <v>46094</v>
      </c>
      <c r="B150" s="7" t="s">
        <v>43</v>
      </c>
      <c r="C150" s="7"/>
      <c r="D150" s="8">
        <v>24017.86</v>
      </c>
    </row>
    <row r="151" spans="1:4" hidden="1" outlineLevel="1" x14ac:dyDescent="0.3">
      <c r="A151" s="14">
        <v>46094</v>
      </c>
      <c r="B151" s="7" t="s">
        <v>43</v>
      </c>
      <c r="C151" s="7" t="s">
        <v>53</v>
      </c>
      <c r="D151" s="8">
        <v>14532</v>
      </c>
    </row>
    <row r="152" spans="1:4" hidden="1" outlineLevel="1" x14ac:dyDescent="0.3">
      <c r="A152" s="14">
        <v>46097</v>
      </c>
      <c r="B152" s="7" t="s">
        <v>43</v>
      </c>
      <c r="C152" s="7"/>
      <c r="D152" s="8">
        <v>19329.580000000002</v>
      </c>
    </row>
    <row r="153" spans="1:4" hidden="1" outlineLevel="1" x14ac:dyDescent="0.3">
      <c r="A153" s="14">
        <v>46097</v>
      </c>
      <c r="B153" s="7" t="s">
        <v>43</v>
      </c>
      <c r="C153" s="7" t="s">
        <v>54</v>
      </c>
      <c r="D153" s="8">
        <v>8557.48</v>
      </c>
    </row>
    <row r="154" spans="1:4" hidden="1" outlineLevel="1" x14ac:dyDescent="0.3">
      <c r="A154" s="14">
        <v>46098</v>
      </c>
      <c r="B154" s="7" t="s">
        <v>43</v>
      </c>
      <c r="C154" s="7"/>
      <c r="D154" s="8">
        <v>8933.34</v>
      </c>
    </row>
    <row r="155" spans="1:4" hidden="1" outlineLevel="1" x14ac:dyDescent="0.3">
      <c r="A155" s="14">
        <v>46099</v>
      </c>
      <c r="B155" s="7" t="s">
        <v>43</v>
      </c>
      <c r="C155" s="7"/>
      <c r="D155" s="8">
        <v>53311.42</v>
      </c>
    </row>
    <row r="156" spans="1:4" hidden="1" outlineLevel="1" x14ac:dyDescent="0.3">
      <c r="A156" s="14">
        <v>46100</v>
      </c>
      <c r="B156" s="7" t="s">
        <v>43</v>
      </c>
      <c r="C156" s="7"/>
      <c r="D156" s="8">
        <v>29776.55</v>
      </c>
    </row>
    <row r="157" spans="1:4" hidden="1" outlineLevel="1" x14ac:dyDescent="0.3">
      <c r="A157" s="14">
        <v>46101</v>
      </c>
      <c r="B157" s="7" t="s">
        <v>43</v>
      </c>
      <c r="C157" s="7"/>
      <c r="D157" s="8">
        <v>40823.339999999997</v>
      </c>
    </row>
    <row r="158" spans="1:4" hidden="1" outlineLevel="1" x14ac:dyDescent="0.3">
      <c r="A158" s="14">
        <v>46106</v>
      </c>
      <c r="B158" s="7" t="s">
        <v>43</v>
      </c>
      <c r="C158" s="7"/>
      <c r="D158" s="8">
        <v>16975.16</v>
      </c>
    </row>
    <row r="159" spans="1:4" hidden="1" outlineLevel="1" x14ac:dyDescent="0.3">
      <c r="A159" s="14">
        <v>46107</v>
      </c>
      <c r="B159" s="7" t="s">
        <v>43</v>
      </c>
      <c r="C159" s="7"/>
      <c r="D159" s="8">
        <v>107472.44</v>
      </c>
    </row>
    <row r="160" spans="1:4" hidden="1" outlineLevel="1" x14ac:dyDescent="0.3">
      <c r="A160" s="14">
        <v>46107</v>
      </c>
      <c r="B160" s="7" t="s">
        <v>43</v>
      </c>
      <c r="C160" s="7" t="s">
        <v>56</v>
      </c>
      <c r="D160" s="8">
        <v>2968.56</v>
      </c>
    </row>
    <row r="161" spans="1:4" hidden="1" outlineLevel="1" x14ac:dyDescent="0.3">
      <c r="A161" s="14">
        <v>46108</v>
      </c>
      <c r="B161" s="7" t="s">
        <v>43</v>
      </c>
      <c r="C161" s="7"/>
      <c r="D161" s="8">
        <v>24345.32</v>
      </c>
    </row>
    <row r="162" spans="1:4" hidden="1" outlineLevel="1" x14ac:dyDescent="0.3">
      <c r="A162" s="14">
        <v>46111</v>
      </c>
      <c r="B162" s="7" t="s">
        <v>43</v>
      </c>
      <c r="C162" s="7"/>
      <c r="D162" s="8">
        <v>19988.439999999999</v>
      </c>
    </row>
    <row r="163" spans="1:4" hidden="1" outlineLevel="1" x14ac:dyDescent="0.3">
      <c r="A163" s="14">
        <v>46112</v>
      </c>
      <c r="B163" s="7" t="s">
        <v>43</v>
      </c>
      <c r="C163" s="7"/>
      <c r="D163" s="8">
        <v>36207.79</v>
      </c>
    </row>
    <row r="164" spans="1:4" collapsed="1" x14ac:dyDescent="0.3">
      <c r="A164" s="15"/>
      <c r="B164" s="15"/>
      <c r="C164" s="16" t="s">
        <v>72</v>
      </c>
      <c r="D164" s="17">
        <f>SUM(D141:D163)</f>
        <v>1420037.56</v>
      </c>
    </row>
    <row r="166" spans="1:4" ht="15.6" x14ac:dyDescent="0.3">
      <c r="A166" s="81" t="s">
        <v>73</v>
      </c>
      <c r="B166" s="79"/>
      <c r="C166" s="79"/>
      <c r="D166" s="79"/>
    </row>
    <row r="167" spans="1:4" x14ac:dyDescent="0.3">
      <c r="A167" s="13" t="s">
        <v>28</v>
      </c>
      <c r="B167" s="13" t="s">
        <v>66</v>
      </c>
      <c r="C167" s="13" t="s">
        <v>67</v>
      </c>
      <c r="D167" s="13" t="s">
        <v>68</v>
      </c>
    </row>
    <row r="168" spans="1:4" outlineLevel="1" x14ac:dyDescent="0.3">
      <c r="A168" s="14">
        <v>46083</v>
      </c>
      <c r="B168" s="7" t="s">
        <v>41</v>
      </c>
      <c r="C168" s="7" t="s">
        <v>42</v>
      </c>
      <c r="D168" s="8">
        <v>9772.75</v>
      </c>
    </row>
    <row r="169" spans="1:4" outlineLevel="1" x14ac:dyDescent="0.3">
      <c r="A169" s="14">
        <v>46084</v>
      </c>
      <c r="B169" s="7" t="s">
        <v>41</v>
      </c>
      <c r="C169" s="7"/>
      <c r="D169" s="8">
        <v>65921.070000000007</v>
      </c>
    </row>
    <row r="170" spans="1:4" outlineLevel="1" x14ac:dyDescent="0.3">
      <c r="A170" s="14">
        <v>46085</v>
      </c>
      <c r="B170" s="7" t="s">
        <v>41</v>
      </c>
      <c r="C170" s="7"/>
      <c r="D170" s="8">
        <v>1368.86</v>
      </c>
    </row>
    <row r="171" spans="1:4" outlineLevel="1" x14ac:dyDescent="0.3">
      <c r="A171" s="14">
        <v>46086</v>
      </c>
      <c r="B171" s="7" t="s">
        <v>41</v>
      </c>
      <c r="C171" s="7"/>
      <c r="D171" s="8">
        <v>46159.26</v>
      </c>
    </row>
    <row r="172" spans="1:4" outlineLevel="1" x14ac:dyDescent="0.3">
      <c r="A172" s="14">
        <v>46087</v>
      </c>
      <c r="B172" s="7" t="s">
        <v>41</v>
      </c>
      <c r="C172" s="7"/>
      <c r="D172" s="8">
        <v>452.23</v>
      </c>
    </row>
    <row r="173" spans="1:4" outlineLevel="1" x14ac:dyDescent="0.3">
      <c r="A173" s="14">
        <v>46090</v>
      </c>
      <c r="B173" s="7" t="s">
        <v>41</v>
      </c>
      <c r="C173" s="7"/>
      <c r="D173" s="8">
        <v>160424.19</v>
      </c>
    </row>
    <row r="174" spans="1:4" outlineLevel="1" x14ac:dyDescent="0.3">
      <c r="A174" s="14">
        <v>46091</v>
      </c>
      <c r="B174" s="7" t="s">
        <v>41</v>
      </c>
      <c r="C174" s="7"/>
      <c r="D174" s="8">
        <v>56086.96</v>
      </c>
    </row>
    <row r="175" spans="1:4" outlineLevel="1" x14ac:dyDescent="0.3">
      <c r="A175" s="14">
        <v>46092</v>
      </c>
      <c r="B175" s="7" t="s">
        <v>41</v>
      </c>
      <c r="C175" s="7"/>
      <c r="D175" s="8">
        <v>8933.7999999999993</v>
      </c>
    </row>
    <row r="176" spans="1:4" outlineLevel="1" x14ac:dyDescent="0.3">
      <c r="A176" s="14">
        <v>46093</v>
      </c>
      <c r="B176" s="7" t="s">
        <v>41</v>
      </c>
      <c r="C176" s="7"/>
      <c r="D176" s="8">
        <v>28682.12</v>
      </c>
    </row>
    <row r="177" spans="1:4" outlineLevel="1" x14ac:dyDescent="0.3">
      <c r="A177" s="14">
        <v>46094</v>
      </c>
      <c r="B177" s="7" t="s">
        <v>41</v>
      </c>
      <c r="C177" s="7"/>
      <c r="D177" s="8">
        <v>30080.46</v>
      </c>
    </row>
    <row r="178" spans="1:4" outlineLevel="1" x14ac:dyDescent="0.3">
      <c r="A178" s="14">
        <v>46097</v>
      </c>
      <c r="B178" s="7" t="s">
        <v>41</v>
      </c>
      <c r="C178" s="7"/>
      <c r="D178" s="8">
        <v>15331.92</v>
      </c>
    </row>
    <row r="179" spans="1:4" outlineLevel="1" x14ac:dyDescent="0.3">
      <c r="A179" s="14">
        <v>46097</v>
      </c>
      <c r="B179" s="7" t="s">
        <v>41</v>
      </c>
      <c r="C179" s="7" t="s">
        <v>55</v>
      </c>
      <c r="D179" s="8">
        <v>27.96</v>
      </c>
    </row>
    <row r="180" spans="1:4" outlineLevel="1" x14ac:dyDescent="0.3">
      <c r="A180" s="14">
        <v>46098</v>
      </c>
      <c r="B180" s="7" t="s">
        <v>41</v>
      </c>
      <c r="C180" s="7"/>
      <c r="D180" s="8">
        <v>3828.63</v>
      </c>
    </row>
    <row r="181" spans="1:4" outlineLevel="1" x14ac:dyDescent="0.3">
      <c r="A181" s="14">
        <v>46099</v>
      </c>
      <c r="B181" s="7" t="s">
        <v>41</v>
      </c>
      <c r="C181" s="7"/>
      <c r="D181" s="8">
        <v>12810.85</v>
      </c>
    </row>
    <row r="182" spans="1:4" outlineLevel="1" x14ac:dyDescent="0.3">
      <c r="A182" s="14">
        <v>46100</v>
      </c>
      <c r="B182" s="7" t="s">
        <v>41</v>
      </c>
      <c r="C182" s="7"/>
      <c r="D182" s="8">
        <v>28363.040000000001</v>
      </c>
    </row>
    <row r="183" spans="1:4" outlineLevel="1" x14ac:dyDescent="0.3">
      <c r="A183" s="14">
        <v>46101</v>
      </c>
      <c r="B183" s="7" t="s">
        <v>41</v>
      </c>
      <c r="C183" s="7"/>
      <c r="D183" s="8">
        <v>8778.2900000000009</v>
      </c>
    </row>
    <row r="184" spans="1:4" outlineLevel="1" x14ac:dyDescent="0.3">
      <c r="A184" s="14">
        <v>46106</v>
      </c>
      <c r="B184" s="7" t="s">
        <v>41</v>
      </c>
      <c r="C184" s="7"/>
      <c r="D184" s="8">
        <v>58802.42</v>
      </c>
    </row>
    <row r="185" spans="1:4" outlineLevel="1" x14ac:dyDescent="0.3">
      <c r="A185" s="14">
        <v>46107</v>
      </c>
      <c r="B185" s="7" t="s">
        <v>41</v>
      </c>
      <c r="C185" s="7"/>
      <c r="D185" s="8">
        <v>483.9</v>
      </c>
    </row>
    <row r="186" spans="1:4" outlineLevel="1" x14ac:dyDescent="0.3">
      <c r="A186" s="14">
        <v>46108</v>
      </c>
      <c r="B186" s="7" t="s">
        <v>41</v>
      </c>
      <c r="C186" s="7"/>
      <c r="D186" s="8">
        <v>1412.68</v>
      </c>
    </row>
    <row r="187" spans="1:4" outlineLevel="1" x14ac:dyDescent="0.3">
      <c r="A187" s="14">
        <v>46111</v>
      </c>
      <c r="B187" s="7" t="s">
        <v>41</v>
      </c>
      <c r="C187" s="7"/>
      <c r="D187" s="8">
        <v>69083.61</v>
      </c>
    </row>
    <row r="188" spans="1:4" outlineLevel="1" x14ac:dyDescent="0.3">
      <c r="A188" s="14">
        <v>46112</v>
      </c>
      <c r="B188" s="7" t="s">
        <v>41</v>
      </c>
      <c r="C188" s="7"/>
      <c r="D188" s="8">
        <v>378768.82</v>
      </c>
    </row>
    <row r="189" spans="1:4" x14ac:dyDescent="0.3">
      <c r="A189" s="15"/>
      <c r="B189" s="15"/>
      <c r="C189" s="16" t="s">
        <v>74</v>
      </c>
      <c r="D189" s="17">
        <f>SUM(D168:D188)</f>
        <v>985573.82000000007</v>
      </c>
    </row>
    <row r="191" spans="1:4" ht="15.6" x14ac:dyDescent="0.3">
      <c r="A191" s="81" t="s">
        <v>75</v>
      </c>
      <c r="B191" s="79"/>
      <c r="C191" s="79"/>
      <c r="D191" s="79"/>
    </row>
    <row r="192" spans="1:4" x14ac:dyDescent="0.3">
      <c r="A192" s="13" t="s">
        <v>28</v>
      </c>
      <c r="B192" s="13" t="s">
        <v>66</v>
      </c>
      <c r="C192" s="13" t="s">
        <v>67</v>
      </c>
      <c r="D192" s="13" t="s">
        <v>68</v>
      </c>
    </row>
    <row r="193" spans="1:5" outlineLevel="1" x14ac:dyDescent="0.3">
      <c r="A193" s="14">
        <v>46084</v>
      </c>
      <c r="B193" s="7" t="s">
        <v>47</v>
      </c>
      <c r="C193" s="7"/>
      <c r="D193" s="8">
        <v>923.16</v>
      </c>
    </row>
    <row r="194" spans="1:5" outlineLevel="1" x14ac:dyDescent="0.3">
      <c r="A194" s="14">
        <v>46090</v>
      </c>
      <c r="B194" s="7" t="s">
        <v>47</v>
      </c>
      <c r="C194" s="7"/>
      <c r="D194" s="8">
        <v>219.05</v>
      </c>
    </row>
    <row r="195" spans="1:5" outlineLevel="1" x14ac:dyDescent="0.3">
      <c r="A195" s="14">
        <v>46091</v>
      </c>
      <c r="B195" s="7" t="s">
        <v>47</v>
      </c>
      <c r="C195" s="7"/>
      <c r="D195" s="8">
        <v>413</v>
      </c>
    </row>
    <row r="196" spans="1:5" outlineLevel="1" x14ac:dyDescent="0.3">
      <c r="A196" s="14">
        <v>46093</v>
      </c>
      <c r="B196" s="7" t="s">
        <v>47</v>
      </c>
      <c r="C196" s="7"/>
      <c r="D196" s="8">
        <v>695.21</v>
      </c>
    </row>
    <row r="197" spans="1:5" outlineLevel="1" x14ac:dyDescent="0.3">
      <c r="A197" s="14">
        <v>46099</v>
      </c>
      <c r="B197" s="7" t="s">
        <v>47</v>
      </c>
      <c r="C197" s="7"/>
      <c r="D197" s="8">
        <v>2073.65</v>
      </c>
    </row>
    <row r="198" spans="1:5" outlineLevel="1" x14ac:dyDescent="0.3">
      <c r="A198" s="14">
        <v>46107</v>
      </c>
      <c r="B198" s="7" t="s">
        <v>47</v>
      </c>
      <c r="C198" s="7"/>
      <c r="D198" s="8">
        <v>1200.67</v>
      </c>
    </row>
    <row r="199" spans="1:5" outlineLevel="1" x14ac:dyDescent="0.3">
      <c r="A199" s="14">
        <v>46111</v>
      </c>
      <c r="B199" s="7" t="s">
        <v>47</v>
      </c>
      <c r="C199" s="7"/>
      <c r="D199" s="8">
        <v>2875</v>
      </c>
    </row>
    <row r="200" spans="1:5" outlineLevel="1" x14ac:dyDescent="0.3">
      <c r="A200" s="14">
        <v>46111</v>
      </c>
      <c r="B200" s="7" t="s">
        <v>47</v>
      </c>
      <c r="C200" s="7"/>
      <c r="D200" s="8">
        <v>691.25</v>
      </c>
    </row>
    <row r="201" spans="1:5" x14ac:dyDescent="0.3">
      <c r="A201" s="15"/>
      <c r="B201" s="15"/>
      <c r="C201" s="16" t="s">
        <v>76</v>
      </c>
      <c r="D201" s="17">
        <f>SUM(D193:D200)</f>
        <v>9090.99</v>
      </c>
      <c r="E201">
        <f>9090.99-7017.34</f>
        <v>2073.6499999999996</v>
      </c>
    </row>
    <row r="203" spans="1:5" ht="15.6" x14ac:dyDescent="0.3">
      <c r="A203" s="81" t="s">
        <v>77</v>
      </c>
      <c r="B203" s="79"/>
      <c r="C203" s="79"/>
      <c r="D203" s="79"/>
    </row>
    <row r="204" spans="1:5" x14ac:dyDescent="0.3">
      <c r="A204" s="13" t="s">
        <v>28</v>
      </c>
      <c r="B204" s="13" t="s">
        <v>66</v>
      </c>
      <c r="C204" s="13" t="s">
        <v>67</v>
      </c>
      <c r="D204" s="13" t="s">
        <v>68</v>
      </c>
    </row>
    <row r="205" spans="1:5" hidden="1" outlineLevel="1" x14ac:dyDescent="0.3">
      <c r="A205" s="14">
        <v>46080</v>
      </c>
      <c r="B205" s="7" t="s">
        <v>36</v>
      </c>
      <c r="C205" s="7" t="s">
        <v>37</v>
      </c>
      <c r="D205" s="8">
        <v>3270.15</v>
      </c>
    </row>
    <row r="206" spans="1:5" hidden="1" outlineLevel="1" x14ac:dyDescent="0.3">
      <c r="A206" s="14">
        <v>46083</v>
      </c>
      <c r="B206" s="7" t="s">
        <v>36</v>
      </c>
      <c r="C206" s="7" t="s">
        <v>37</v>
      </c>
      <c r="D206" s="8">
        <v>3029.96</v>
      </c>
    </row>
    <row r="207" spans="1:5" hidden="1" outlineLevel="1" x14ac:dyDescent="0.3">
      <c r="A207" s="14">
        <v>46084</v>
      </c>
      <c r="B207" s="7" t="s">
        <v>36</v>
      </c>
      <c r="C207" s="7" t="s">
        <v>37</v>
      </c>
      <c r="D207" s="8">
        <v>19530.04</v>
      </c>
    </row>
    <row r="208" spans="1:5" hidden="1" outlineLevel="1" x14ac:dyDescent="0.3">
      <c r="A208" s="14">
        <v>46085</v>
      </c>
      <c r="B208" s="7" t="s">
        <v>36</v>
      </c>
      <c r="C208" s="7" t="s">
        <v>37</v>
      </c>
      <c r="D208" s="8">
        <v>78.44</v>
      </c>
    </row>
    <row r="209" spans="1:4" hidden="1" outlineLevel="1" x14ac:dyDescent="0.3">
      <c r="A209" s="14">
        <v>46086</v>
      </c>
      <c r="B209" s="7" t="s">
        <v>36</v>
      </c>
      <c r="C209" s="7" t="s">
        <v>37</v>
      </c>
      <c r="D209" s="8">
        <v>3668.82</v>
      </c>
    </row>
    <row r="210" spans="1:4" hidden="1" outlineLevel="1" x14ac:dyDescent="0.3">
      <c r="A210" s="14">
        <v>46087</v>
      </c>
      <c r="B210" s="7" t="s">
        <v>36</v>
      </c>
      <c r="C210" s="7" t="s">
        <v>37</v>
      </c>
      <c r="D210" s="8">
        <v>8158.1</v>
      </c>
    </row>
    <row r="211" spans="1:4" hidden="1" outlineLevel="1" x14ac:dyDescent="0.3">
      <c r="A211" s="14">
        <v>46090</v>
      </c>
      <c r="B211" s="7" t="s">
        <v>36</v>
      </c>
      <c r="C211" s="7" t="s">
        <v>37</v>
      </c>
      <c r="D211" s="8">
        <v>4093.28</v>
      </c>
    </row>
    <row r="212" spans="1:4" hidden="1" outlineLevel="1" x14ac:dyDescent="0.3">
      <c r="A212" s="14">
        <v>46091</v>
      </c>
      <c r="B212" s="7" t="s">
        <v>36</v>
      </c>
      <c r="C212" s="7" t="s">
        <v>37</v>
      </c>
      <c r="D212" s="8">
        <v>122859.01</v>
      </c>
    </row>
    <row r="213" spans="1:4" hidden="1" outlineLevel="1" x14ac:dyDescent="0.3">
      <c r="A213" s="14">
        <v>46092</v>
      </c>
      <c r="B213" s="7" t="s">
        <v>36</v>
      </c>
      <c r="C213" s="7" t="s">
        <v>37</v>
      </c>
      <c r="D213" s="8">
        <v>5183.8999999999996</v>
      </c>
    </row>
    <row r="214" spans="1:4" hidden="1" outlineLevel="1" x14ac:dyDescent="0.3">
      <c r="A214" s="14">
        <v>46093</v>
      </c>
      <c r="B214" s="7" t="s">
        <v>36</v>
      </c>
      <c r="C214" s="7" t="s">
        <v>37</v>
      </c>
      <c r="D214" s="8">
        <v>22690.3</v>
      </c>
    </row>
    <row r="215" spans="1:4" hidden="1" outlineLevel="1" x14ac:dyDescent="0.3">
      <c r="A215" s="14">
        <v>46094</v>
      </c>
      <c r="B215" s="7" t="s">
        <v>36</v>
      </c>
      <c r="C215" s="7" t="s">
        <v>37</v>
      </c>
      <c r="D215" s="8">
        <v>4609.7299999999996</v>
      </c>
    </row>
    <row r="216" spans="1:4" hidden="1" outlineLevel="1" x14ac:dyDescent="0.3">
      <c r="A216" s="14">
        <v>46097</v>
      </c>
      <c r="B216" s="7" t="s">
        <v>36</v>
      </c>
      <c r="C216" s="7" t="s">
        <v>37</v>
      </c>
      <c r="D216" s="8">
        <v>2755.01</v>
      </c>
    </row>
    <row r="217" spans="1:4" hidden="1" outlineLevel="1" x14ac:dyDescent="0.3">
      <c r="A217" s="14">
        <v>46098</v>
      </c>
      <c r="B217" s="7" t="s">
        <v>36</v>
      </c>
      <c r="C217" s="7" t="s">
        <v>37</v>
      </c>
      <c r="D217" s="8">
        <v>1740.88</v>
      </c>
    </row>
    <row r="218" spans="1:4" hidden="1" outlineLevel="1" x14ac:dyDescent="0.3">
      <c r="A218" s="14">
        <v>46099</v>
      </c>
      <c r="B218" s="7" t="s">
        <v>36</v>
      </c>
      <c r="C218" s="7" t="s">
        <v>37</v>
      </c>
      <c r="D218" s="8">
        <v>9823.64</v>
      </c>
    </row>
    <row r="219" spans="1:4" hidden="1" outlineLevel="1" x14ac:dyDescent="0.3">
      <c r="A219" s="14">
        <v>46100</v>
      </c>
      <c r="B219" s="7" t="s">
        <v>36</v>
      </c>
      <c r="C219" s="7" t="s">
        <v>37</v>
      </c>
      <c r="D219" s="8">
        <v>5754.7</v>
      </c>
    </row>
    <row r="220" spans="1:4" hidden="1" outlineLevel="1" x14ac:dyDescent="0.3">
      <c r="A220" s="14">
        <v>46101</v>
      </c>
      <c r="B220" s="7" t="s">
        <v>36</v>
      </c>
      <c r="C220" s="7" t="s">
        <v>37</v>
      </c>
      <c r="D220" s="8">
        <v>7938.68</v>
      </c>
    </row>
    <row r="221" spans="1:4" hidden="1" outlineLevel="1" x14ac:dyDescent="0.3">
      <c r="A221" s="14">
        <v>46106</v>
      </c>
      <c r="B221" s="7" t="s">
        <v>36</v>
      </c>
      <c r="C221" s="7" t="s">
        <v>37</v>
      </c>
      <c r="D221" s="8">
        <v>3199.17</v>
      </c>
    </row>
    <row r="222" spans="1:4" hidden="1" outlineLevel="1" x14ac:dyDescent="0.3">
      <c r="A222" s="14">
        <v>46107</v>
      </c>
      <c r="B222" s="7" t="s">
        <v>36</v>
      </c>
      <c r="C222" s="7" t="s">
        <v>37</v>
      </c>
      <c r="D222" s="8">
        <v>20501.189999999999</v>
      </c>
    </row>
    <row r="223" spans="1:4" hidden="1" outlineLevel="1" x14ac:dyDescent="0.3">
      <c r="A223" s="14">
        <v>46108</v>
      </c>
      <c r="B223" s="7" t="s">
        <v>36</v>
      </c>
      <c r="C223" s="7" t="s">
        <v>37</v>
      </c>
      <c r="D223" s="8">
        <v>3368.53</v>
      </c>
    </row>
    <row r="224" spans="1:4" hidden="1" outlineLevel="1" x14ac:dyDescent="0.3">
      <c r="A224" s="14">
        <v>46111</v>
      </c>
      <c r="B224" s="7" t="s">
        <v>36</v>
      </c>
      <c r="C224" s="7" t="s">
        <v>37</v>
      </c>
      <c r="D224" s="8">
        <v>1958.8</v>
      </c>
    </row>
    <row r="225" spans="1:4" collapsed="1" x14ac:dyDescent="0.3">
      <c r="A225" s="15"/>
      <c r="B225" s="15"/>
      <c r="C225" s="16" t="s">
        <v>78</v>
      </c>
      <c r="D225" s="17">
        <f>SUM(D205:D224)</f>
        <v>254212.33000000002</v>
      </c>
    </row>
    <row r="227" spans="1:4" ht="15.6" x14ac:dyDescent="0.3">
      <c r="A227" s="81" t="s">
        <v>79</v>
      </c>
      <c r="B227" s="79"/>
      <c r="C227" s="79"/>
      <c r="D227" s="79"/>
    </row>
    <row r="228" spans="1:4" x14ac:dyDescent="0.3">
      <c r="A228" s="13" t="s">
        <v>28</v>
      </c>
      <c r="B228" s="13" t="s">
        <v>66</v>
      </c>
      <c r="C228" s="13" t="s">
        <v>67</v>
      </c>
      <c r="D228" s="13" t="s">
        <v>68</v>
      </c>
    </row>
    <row r="229" spans="1:4" outlineLevel="1" x14ac:dyDescent="0.3">
      <c r="A229" s="14">
        <v>46080</v>
      </c>
      <c r="B229" s="7" t="s">
        <v>34</v>
      </c>
      <c r="C229" s="7" t="s">
        <v>35</v>
      </c>
      <c r="D229" s="8">
        <v>47495.65</v>
      </c>
    </row>
    <row r="230" spans="1:4" outlineLevel="1" x14ac:dyDescent="0.3">
      <c r="A230" s="14">
        <v>46083</v>
      </c>
      <c r="B230" s="7" t="s">
        <v>44</v>
      </c>
      <c r="C230" s="7" t="s">
        <v>45</v>
      </c>
      <c r="D230" s="8">
        <v>33159.54</v>
      </c>
    </row>
    <row r="231" spans="1:4" outlineLevel="1" x14ac:dyDescent="0.3">
      <c r="A231" s="14">
        <v>46084</v>
      </c>
      <c r="B231" s="7" t="s">
        <v>44</v>
      </c>
      <c r="C231" s="7" t="s">
        <v>45</v>
      </c>
      <c r="D231" s="8">
        <v>206816.45</v>
      </c>
    </row>
    <row r="232" spans="1:4" outlineLevel="1" x14ac:dyDescent="0.3">
      <c r="A232" s="14">
        <v>46085</v>
      </c>
      <c r="B232" s="7" t="s">
        <v>44</v>
      </c>
      <c r="C232" s="7" t="s">
        <v>45</v>
      </c>
      <c r="D232" s="8">
        <v>3698.36</v>
      </c>
    </row>
    <row r="233" spans="1:4" outlineLevel="1" x14ac:dyDescent="0.3">
      <c r="A233" s="14">
        <v>46086</v>
      </c>
      <c r="B233" s="7" t="s">
        <v>44</v>
      </c>
      <c r="C233" s="7" t="s">
        <v>45</v>
      </c>
      <c r="D233" s="8">
        <v>63354.76</v>
      </c>
    </row>
    <row r="234" spans="1:4" outlineLevel="1" x14ac:dyDescent="0.3">
      <c r="A234" s="14">
        <v>46087</v>
      </c>
      <c r="B234" s="7" t="s">
        <v>44</v>
      </c>
      <c r="C234" s="7" t="s">
        <v>45</v>
      </c>
      <c r="D234" s="8">
        <v>83847.199999999997</v>
      </c>
    </row>
    <row r="235" spans="1:4" outlineLevel="1" x14ac:dyDescent="0.3">
      <c r="A235" s="14">
        <v>46090</v>
      </c>
      <c r="B235" s="7" t="s">
        <v>44</v>
      </c>
      <c r="C235" s="7" t="s">
        <v>45</v>
      </c>
      <c r="D235" s="8">
        <v>54198.61</v>
      </c>
    </row>
    <row r="236" spans="1:4" outlineLevel="1" x14ac:dyDescent="0.3">
      <c r="A236" s="14">
        <v>46091</v>
      </c>
      <c r="B236" s="7" t="s">
        <v>44</v>
      </c>
      <c r="C236" s="7" t="s">
        <v>45</v>
      </c>
      <c r="D236" s="8">
        <v>1255788.55</v>
      </c>
    </row>
    <row r="237" spans="1:4" outlineLevel="1" x14ac:dyDescent="0.3">
      <c r="A237" s="14">
        <v>46092</v>
      </c>
      <c r="B237" s="7" t="s">
        <v>44</v>
      </c>
      <c r="C237" s="7" t="s">
        <v>45</v>
      </c>
      <c r="D237" s="8">
        <v>57120.93</v>
      </c>
    </row>
    <row r="238" spans="1:4" outlineLevel="1" x14ac:dyDescent="0.3">
      <c r="A238" s="14">
        <v>46093</v>
      </c>
      <c r="B238" s="7" t="s">
        <v>44</v>
      </c>
      <c r="C238" s="7" t="s">
        <v>45</v>
      </c>
      <c r="D238" s="8">
        <v>267612.18</v>
      </c>
    </row>
    <row r="239" spans="1:4" outlineLevel="1" x14ac:dyDescent="0.3">
      <c r="A239" s="14">
        <v>46094</v>
      </c>
      <c r="B239" s="7" t="s">
        <v>44</v>
      </c>
      <c r="C239" s="7" t="s">
        <v>45</v>
      </c>
      <c r="D239" s="8">
        <v>48035.71</v>
      </c>
    </row>
    <row r="240" spans="1:4" outlineLevel="1" x14ac:dyDescent="0.3">
      <c r="A240" s="14">
        <v>46097</v>
      </c>
      <c r="B240" s="7" t="s">
        <v>44</v>
      </c>
      <c r="C240" s="7" t="s">
        <v>45</v>
      </c>
      <c r="D240" s="8">
        <v>38659.15</v>
      </c>
    </row>
    <row r="241" spans="1:4" outlineLevel="1" x14ac:dyDescent="0.3">
      <c r="A241" s="14">
        <v>46098</v>
      </c>
      <c r="B241" s="7" t="s">
        <v>44</v>
      </c>
      <c r="C241" s="7" t="s">
        <v>45</v>
      </c>
      <c r="D241" s="8">
        <v>17866.68</v>
      </c>
    </row>
    <row r="242" spans="1:4" outlineLevel="1" x14ac:dyDescent="0.3">
      <c r="A242" s="14">
        <v>46099</v>
      </c>
      <c r="B242" s="7" t="s">
        <v>44</v>
      </c>
      <c r="C242" s="7" t="s">
        <v>45</v>
      </c>
      <c r="D242" s="8">
        <v>106622.81</v>
      </c>
    </row>
    <row r="243" spans="1:4" outlineLevel="1" x14ac:dyDescent="0.3">
      <c r="A243" s="14">
        <v>46100</v>
      </c>
      <c r="B243" s="7" t="s">
        <v>44</v>
      </c>
      <c r="C243" s="7" t="s">
        <v>45</v>
      </c>
      <c r="D243" s="8">
        <v>59553.09</v>
      </c>
    </row>
    <row r="244" spans="1:4" outlineLevel="1" x14ac:dyDescent="0.3">
      <c r="A244" s="14">
        <v>46101</v>
      </c>
      <c r="B244" s="7" t="s">
        <v>44</v>
      </c>
      <c r="C244" s="7" t="s">
        <v>45</v>
      </c>
      <c r="D244" s="8">
        <v>81646.66</v>
      </c>
    </row>
    <row r="245" spans="1:4" outlineLevel="1" x14ac:dyDescent="0.3">
      <c r="A245" s="14">
        <v>46106</v>
      </c>
      <c r="B245" s="7" t="s">
        <v>44</v>
      </c>
      <c r="C245" s="7" t="s">
        <v>45</v>
      </c>
      <c r="D245" s="8">
        <v>33950.29</v>
      </c>
    </row>
    <row r="246" spans="1:4" outlineLevel="1" x14ac:dyDescent="0.3">
      <c r="A246" s="14">
        <v>46107</v>
      </c>
      <c r="B246" s="7" t="s">
        <v>44</v>
      </c>
      <c r="C246" s="7" t="s">
        <v>45</v>
      </c>
      <c r="D246" s="8">
        <v>214944.88</v>
      </c>
    </row>
    <row r="247" spans="1:4" outlineLevel="1" x14ac:dyDescent="0.3">
      <c r="A247" s="14">
        <v>46108</v>
      </c>
      <c r="B247" s="7" t="s">
        <v>44</v>
      </c>
      <c r="C247" s="7" t="s">
        <v>45</v>
      </c>
      <c r="D247" s="8">
        <v>48690.65</v>
      </c>
    </row>
    <row r="248" spans="1:4" outlineLevel="1" x14ac:dyDescent="0.3">
      <c r="A248" s="14">
        <v>46111</v>
      </c>
      <c r="B248" s="7" t="s">
        <v>44</v>
      </c>
      <c r="C248" s="7" t="s">
        <v>45</v>
      </c>
      <c r="D248" s="8">
        <v>39976.92</v>
      </c>
    </row>
    <row r="249" spans="1:4" x14ac:dyDescent="0.3">
      <c r="A249" s="15"/>
      <c r="B249" s="15"/>
      <c r="C249" s="16" t="s">
        <v>80</v>
      </c>
      <c r="D249" s="17">
        <f>SUM(D229:D248)</f>
        <v>2763039.07</v>
      </c>
    </row>
    <row r="252" spans="1:4" x14ac:dyDescent="0.3">
      <c r="D252" s="5">
        <f>+D249+D225+D201+D189+D164+D137+D64</f>
        <v>5726858.9899999993</v>
      </c>
    </row>
  </sheetData>
  <mergeCells count="8">
    <mergeCell ref="A1:D1"/>
    <mergeCell ref="A139:D139"/>
    <mergeCell ref="A3:D3"/>
    <mergeCell ref="A166:D166"/>
    <mergeCell ref="A227:D227"/>
    <mergeCell ref="A191:D191"/>
    <mergeCell ref="A66:D66"/>
    <mergeCell ref="A203:D20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abSelected="1" zoomScale="85" zoomScaleNormal="85" workbookViewId="0">
      <selection activeCell="G5" sqref="G5:I5"/>
    </sheetView>
  </sheetViews>
  <sheetFormatPr baseColWidth="10" defaultColWidth="8.88671875" defaultRowHeight="14.4" x14ac:dyDescent="0.3"/>
  <cols>
    <col min="1" max="1" width="14" customWidth="1"/>
    <col min="2" max="2" width="20.88671875" customWidth="1"/>
    <col min="3" max="3" width="30" customWidth="1"/>
    <col min="4" max="4" width="14" customWidth="1"/>
    <col min="5" max="5" width="16" customWidth="1"/>
    <col min="6" max="6" width="25" customWidth="1"/>
    <col min="7" max="7" width="12" customWidth="1"/>
    <col min="8" max="8" width="10" customWidth="1"/>
    <col min="9" max="9" width="15" customWidth="1"/>
    <col min="10" max="10" width="20" customWidth="1"/>
  </cols>
  <sheetData>
    <row r="1" spans="1:10" ht="17.399999999999999" x14ac:dyDescent="0.3">
      <c r="A1" s="80" t="s">
        <v>81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3">
      <c r="A2" s="1" t="s">
        <v>1</v>
      </c>
    </row>
    <row r="3" spans="1:10" x14ac:dyDescent="0.3">
      <c r="D3" s="52" t="s">
        <v>163</v>
      </c>
      <c r="E3" s="52"/>
      <c r="F3" s="52"/>
      <c r="G3" s="52"/>
      <c r="H3" s="52"/>
    </row>
    <row r="4" spans="1:10" ht="15.6" x14ac:dyDescent="0.3">
      <c r="A4" s="6" t="s">
        <v>82</v>
      </c>
    </row>
    <row r="5" spans="1:10" x14ac:dyDescent="0.3">
      <c r="A5" s="13" t="s">
        <v>83</v>
      </c>
      <c r="B5" s="13" t="s">
        <v>84</v>
      </c>
      <c r="C5" s="13" t="s">
        <v>85</v>
      </c>
      <c r="D5" s="13" t="s">
        <v>86</v>
      </c>
      <c r="E5" s="13" t="s">
        <v>87</v>
      </c>
      <c r="F5" s="13" t="s">
        <v>88</v>
      </c>
      <c r="G5" s="13" t="s">
        <v>89</v>
      </c>
      <c r="H5" s="13" t="s">
        <v>90</v>
      </c>
      <c r="I5" s="13" t="s">
        <v>91</v>
      </c>
      <c r="J5" s="13" t="s">
        <v>92</v>
      </c>
    </row>
    <row r="6" spans="1:10" x14ac:dyDescent="0.3">
      <c r="A6" s="22"/>
      <c r="B6" s="23"/>
      <c r="C6" s="24"/>
      <c r="D6" s="22"/>
      <c r="E6" s="23"/>
      <c r="F6" s="24"/>
      <c r="G6" s="23"/>
      <c r="H6" s="24"/>
      <c r="I6" s="24"/>
      <c r="J6" s="24"/>
    </row>
    <row r="7" spans="1:10" x14ac:dyDescent="0.3">
      <c r="A7" s="22"/>
      <c r="B7" s="23"/>
      <c r="C7" s="24"/>
      <c r="D7" s="22"/>
      <c r="E7" s="23"/>
      <c r="F7" s="24"/>
      <c r="G7" s="23"/>
      <c r="H7" s="24"/>
      <c r="I7" s="24"/>
      <c r="J7" s="24"/>
    </row>
    <row r="8" spans="1:10" s="21" customFormat="1" x14ac:dyDescent="0.3">
      <c r="A8" s="25"/>
      <c r="B8" s="28">
        <f>SUM(B6:B7)</f>
        <v>0</v>
      </c>
      <c r="C8" s="27"/>
      <c r="D8" s="25"/>
      <c r="E8" s="28">
        <f>SUM(E6:E7)</f>
        <v>0</v>
      </c>
      <c r="F8" s="27"/>
      <c r="G8" s="28">
        <f>SUM(G6:G7)</f>
        <v>0</v>
      </c>
      <c r="H8" s="27"/>
      <c r="I8" s="52" t="s">
        <v>151</v>
      </c>
      <c r="J8" s="27"/>
    </row>
    <row r="9" spans="1:10" s="21" customFormat="1" x14ac:dyDescent="0.3">
      <c r="A9" s="25"/>
      <c r="B9" s="26"/>
      <c r="C9" s="27"/>
      <c r="D9" s="25"/>
      <c r="E9" s="26"/>
      <c r="F9" s="27"/>
      <c r="G9" s="26"/>
      <c r="H9" s="52" t="s">
        <v>150</v>
      </c>
      <c r="I9" s="27"/>
      <c r="J9" s="27"/>
    </row>
    <row r="10" spans="1:10" x14ac:dyDescent="0.3">
      <c r="G10" s="52" t="s">
        <v>150</v>
      </c>
    </row>
    <row r="11" spans="1:10" x14ac:dyDescent="0.3">
      <c r="A11" s="18" t="s">
        <v>93</v>
      </c>
    </row>
    <row r="12" spans="1:10" x14ac:dyDescent="0.3">
      <c r="A12" s="13" t="s">
        <v>28</v>
      </c>
      <c r="B12" s="13" t="s">
        <v>94</v>
      </c>
      <c r="C12" s="13" t="s">
        <v>95</v>
      </c>
      <c r="D12" s="13" t="s">
        <v>30</v>
      </c>
      <c r="E12" s="13" t="s">
        <v>31</v>
      </c>
      <c r="F12" s="13"/>
      <c r="G12" s="13"/>
      <c r="H12" s="13"/>
    </row>
    <row r="13" spans="1:10" x14ac:dyDescent="0.3">
      <c r="A13" s="22"/>
      <c r="B13" s="24"/>
      <c r="C13" s="24"/>
      <c r="D13" s="23"/>
      <c r="E13" s="24"/>
    </row>
    <row r="14" spans="1:10" x14ac:dyDescent="0.3">
      <c r="A14" s="22"/>
      <c r="B14" s="24"/>
      <c r="C14" s="24"/>
      <c r="D14" s="24"/>
      <c r="E14" s="23"/>
    </row>
    <row r="15" spans="1:10" x14ac:dyDescent="0.3">
      <c r="A15" s="22"/>
      <c r="B15" s="24"/>
      <c r="C15" s="24"/>
      <c r="D15" s="23"/>
      <c r="E15" s="24"/>
    </row>
    <row r="16" spans="1:10" ht="15" thickBot="1" x14ac:dyDescent="0.35">
      <c r="A16" s="22"/>
      <c r="B16" s="24"/>
      <c r="C16" s="24"/>
      <c r="D16" s="33"/>
      <c r="E16" s="31"/>
    </row>
    <row r="17" spans="1:8" ht="15" thickBot="1" x14ac:dyDescent="0.35">
      <c r="A17" s="19" t="s">
        <v>96</v>
      </c>
      <c r="D17" s="34">
        <f>SUM(D13:D16)</f>
        <v>0</v>
      </c>
      <c r="E17" s="34">
        <f>SUM(E13:E16)</f>
        <v>0</v>
      </c>
    </row>
    <row r="18" spans="1:8" s="21" customFormat="1" x14ac:dyDescent="0.3"/>
    <row r="19" spans="1:8" s="21" customFormat="1" x14ac:dyDescent="0.3">
      <c r="C19" s="52" t="s">
        <v>157</v>
      </c>
      <c r="D19" s="30">
        <f>+B8+E17-D17</f>
        <v>0</v>
      </c>
      <c r="E19" s="30">
        <f>+'1. Auditoría Banco'!D7-'1. Auditoría Banco'!C7</f>
        <v>0</v>
      </c>
    </row>
    <row r="20" spans="1:8" s="21" customFormat="1" x14ac:dyDescent="0.3">
      <c r="D20" s="52"/>
      <c r="E20" s="30">
        <f>+E19-D19</f>
        <v>0</v>
      </c>
      <c r="F20" s="52" t="s">
        <v>162</v>
      </c>
    </row>
    <row r="21" spans="1:8" s="21" customFormat="1" x14ac:dyDescent="0.3"/>
    <row r="23" spans="1:8" x14ac:dyDescent="0.3">
      <c r="A23" s="18" t="s">
        <v>97</v>
      </c>
    </row>
    <row r="24" spans="1:8" x14ac:dyDescent="0.3">
      <c r="A24" s="13" t="s">
        <v>28</v>
      </c>
      <c r="B24" s="13" t="s">
        <v>98</v>
      </c>
      <c r="C24" s="13" t="s">
        <v>94</v>
      </c>
      <c r="D24" s="13" t="s">
        <v>63</v>
      </c>
      <c r="E24" s="13" t="s">
        <v>64</v>
      </c>
      <c r="F24" s="13"/>
      <c r="G24" s="13"/>
      <c r="H24" s="13"/>
    </row>
    <row r="25" spans="1:8" x14ac:dyDescent="0.3">
      <c r="A25" s="22"/>
      <c r="B25" s="24"/>
      <c r="C25" s="24"/>
      <c r="D25" s="23"/>
      <c r="E25" s="24"/>
    </row>
    <row r="26" spans="1:8" x14ac:dyDescent="0.3">
      <c r="A26" s="22"/>
      <c r="B26" s="24"/>
      <c r="C26" s="24"/>
      <c r="D26" s="23"/>
      <c r="E26" s="24"/>
    </row>
    <row r="27" spans="1:8" x14ac:dyDescent="0.3">
      <c r="A27" s="22"/>
      <c r="B27" s="24"/>
      <c r="C27" s="24"/>
      <c r="D27" s="23"/>
      <c r="E27" s="24"/>
    </row>
    <row r="28" spans="1:8" ht="15" thickBot="1" x14ac:dyDescent="0.35">
      <c r="A28" s="22"/>
      <c r="B28" s="24"/>
      <c r="C28" s="24"/>
      <c r="D28" s="31"/>
      <c r="E28" s="33"/>
    </row>
    <row r="29" spans="1:8" ht="15" thickBot="1" x14ac:dyDescent="0.35">
      <c r="D29" s="32">
        <f>SUM(D25:D28)</f>
        <v>0</v>
      </c>
      <c r="E29" s="32">
        <f>SUM(E25:E28)</f>
        <v>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topLeftCell="A36" workbookViewId="0">
      <selection activeCell="B38" sqref="B38"/>
    </sheetView>
  </sheetViews>
  <sheetFormatPr baseColWidth="10" defaultColWidth="8.88671875" defaultRowHeight="14.4" x14ac:dyDescent="0.3"/>
  <cols>
    <col min="1" max="1" width="22" customWidth="1"/>
    <col min="2" max="2" width="50" customWidth="1"/>
    <col min="3" max="3" width="8" customWidth="1"/>
    <col min="4" max="5" width="18" customWidth="1"/>
  </cols>
  <sheetData>
    <row r="1" spans="1:5" ht="17.399999999999999" x14ac:dyDescent="0.3">
      <c r="A1" s="80" t="s">
        <v>99</v>
      </c>
      <c r="B1" s="79"/>
      <c r="C1" s="79"/>
      <c r="D1" s="79"/>
      <c r="E1" s="79"/>
    </row>
    <row r="3" spans="1:5" x14ac:dyDescent="0.3">
      <c r="A3" s="13" t="s">
        <v>100</v>
      </c>
      <c r="B3" s="13" t="s">
        <v>101</v>
      </c>
      <c r="C3" s="13" t="s">
        <v>102</v>
      </c>
      <c r="D3" s="13" t="s">
        <v>103</v>
      </c>
      <c r="E3" s="13" t="s">
        <v>104</v>
      </c>
    </row>
    <row r="4" spans="1:5" x14ac:dyDescent="0.3">
      <c r="A4" s="7" t="s">
        <v>19</v>
      </c>
      <c r="B4" s="7" t="s">
        <v>105</v>
      </c>
      <c r="C4" s="20">
        <v>8</v>
      </c>
      <c r="D4" s="8">
        <v>116164.83</v>
      </c>
      <c r="E4" s="8">
        <v>0</v>
      </c>
    </row>
    <row r="5" spans="1:5" x14ac:dyDescent="0.3">
      <c r="A5" s="7" t="s">
        <v>19</v>
      </c>
      <c r="B5" s="7" t="s">
        <v>106</v>
      </c>
      <c r="C5" s="20">
        <v>1</v>
      </c>
      <c r="D5" s="8">
        <v>57500</v>
      </c>
      <c r="E5" s="8">
        <v>0</v>
      </c>
    </row>
    <row r="6" spans="1:5" x14ac:dyDescent="0.3">
      <c r="A6" s="7" t="s">
        <v>19</v>
      </c>
      <c r="B6" s="7" t="s">
        <v>107</v>
      </c>
      <c r="C6" s="20">
        <v>49</v>
      </c>
      <c r="D6" s="8">
        <v>51585</v>
      </c>
      <c r="E6" s="8">
        <v>0</v>
      </c>
    </row>
    <row r="7" spans="1:5" x14ac:dyDescent="0.3">
      <c r="A7" s="7" t="s">
        <v>19</v>
      </c>
      <c r="B7" s="7" t="s">
        <v>108</v>
      </c>
      <c r="C7" s="20">
        <v>1</v>
      </c>
      <c r="D7" s="8">
        <v>13825</v>
      </c>
      <c r="E7" s="8">
        <v>0</v>
      </c>
    </row>
    <row r="8" spans="1:5" x14ac:dyDescent="0.3">
      <c r="A8" s="7" t="s">
        <v>39</v>
      </c>
      <c r="B8" s="7" t="s">
        <v>109</v>
      </c>
      <c r="C8" s="20">
        <v>14</v>
      </c>
      <c r="D8" s="8">
        <v>6815769.2300000004</v>
      </c>
      <c r="E8" s="8">
        <v>0</v>
      </c>
    </row>
    <row r="9" spans="1:5" x14ac:dyDescent="0.3">
      <c r="A9" s="7" t="s">
        <v>52</v>
      </c>
      <c r="B9" s="7" t="s">
        <v>110</v>
      </c>
      <c r="C9" s="20">
        <v>4</v>
      </c>
      <c r="D9" s="8">
        <v>6709500</v>
      </c>
      <c r="E9" s="8">
        <v>0</v>
      </c>
    </row>
    <row r="10" spans="1:5" x14ac:dyDescent="0.3">
      <c r="A10" s="7" t="s">
        <v>23</v>
      </c>
      <c r="B10" s="7" t="s">
        <v>111</v>
      </c>
      <c r="C10" s="20">
        <v>59</v>
      </c>
      <c r="D10" s="8">
        <v>50205.7</v>
      </c>
      <c r="E10" s="8">
        <v>0</v>
      </c>
    </row>
    <row r="11" spans="1:5" x14ac:dyDescent="0.3">
      <c r="A11" s="7" t="s">
        <v>23</v>
      </c>
      <c r="B11" s="7" t="s">
        <v>112</v>
      </c>
      <c r="C11" s="20">
        <v>10</v>
      </c>
      <c r="D11" s="8">
        <v>5624.6900000000014</v>
      </c>
      <c r="E11" s="8">
        <v>0</v>
      </c>
    </row>
    <row r="12" spans="1:5" x14ac:dyDescent="0.3">
      <c r="A12" s="7" t="s">
        <v>17</v>
      </c>
      <c r="B12" s="7" t="s">
        <v>113</v>
      </c>
      <c r="C12" s="20">
        <v>23</v>
      </c>
      <c r="D12" s="8">
        <v>1420037.56</v>
      </c>
      <c r="E12" s="8">
        <v>0</v>
      </c>
    </row>
    <row r="13" spans="1:5" x14ac:dyDescent="0.3">
      <c r="A13" s="7" t="s">
        <v>15</v>
      </c>
      <c r="B13" s="7" t="s">
        <v>114</v>
      </c>
      <c r="C13" s="20">
        <v>21</v>
      </c>
      <c r="D13" s="8">
        <v>985573.82000000007</v>
      </c>
      <c r="E13" s="8">
        <v>0</v>
      </c>
    </row>
    <row r="14" spans="1:5" x14ac:dyDescent="0.3">
      <c r="A14" s="7" t="s">
        <v>38</v>
      </c>
      <c r="B14" s="7" t="s">
        <v>115</v>
      </c>
      <c r="C14" s="20">
        <v>16</v>
      </c>
      <c r="D14" s="8">
        <v>110500000</v>
      </c>
      <c r="E14" s="8">
        <v>110000000</v>
      </c>
    </row>
    <row r="15" spans="1:5" x14ac:dyDescent="0.3">
      <c r="A15" s="7" t="s">
        <v>38</v>
      </c>
      <c r="B15" s="7" t="s">
        <v>116</v>
      </c>
      <c r="C15" s="20">
        <v>1</v>
      </c>
      <c r="D15" s="8">
        <v>100000000</v>
      </c>
      <c r="E15" s="8">
        <v>0</v>
      </c>
    </row>
    <row r="16" spans="1:5" x14ac:dyDescent="0.3">
      <c r="A16" s="7" t="s">
        <v>38</v>
      </c>
      <c r="B16" s="7" t="s">
        <v>117</v>
      </c>
      <c r="C16" s="20">
        <v>4</v>
      </c>
      <c r="D16" s="8">
        <v>95102999.769999996</v>
      </c>
      <c r="E16" s="8">
        <v>70999999.99000001</v>
      </c>
    </row>
    <row r="17" spans="1:5" x14ac:dyDescent="0.3">
      <c r="A17" s="7" t="s">
        <v>38</v>
      </c>
      <c r="B17" s="7" t="s">
        <v>118</v>
      </c>
      <c r="C17" s="20">
        <v>56</v>
      </c>
      <c r="D17" s="8">
        <v>52675660</v>
      </c>
      <c r="E17" s="8">
        <v>0</v>
      </c>
    </row>
    <row r="18" spans="1:5" x14ac:dyDescent="0.3">
      <c r="A18" s="7" t="s">
        <v>38</v>
      </c>
      <c r="B18" s="7" t="s">
        <v>119</v>
      </c>
      <c r="C18" s="20">
        <v>63</v>
      </c>
      <c r="D18" s="8">
        <v>48831898</v>
      </c>
      <c r="E18" s="8">
        <v>5638207.2300000004</v>
      </c>
    </row>
    <row r="19" spans="1:5" x14ac:dyDescent="0.3">
      <c r="A19" s="7" t="s">
        <v>38</v>
      </c>
      <c r="B19" s="7" t="s">
        <v>120</v>
      </c>
      <c r="C19" s="20">
        <v>17</v>
      </c>
      <c r="D19" s="8">
        <v>4817681.45</v>
      </c>
      <c r="E19" s="8">
        <v>1443998.98</v>
      </c>
    </row>
    <row r="20" spans="1:5" x14ac:dyDescent="0.3">
      <c r="A20" s="7" t="s">
        <v>38</v>
      </c>
      <c r="B20" s="7" t="s">
        <v>121</v>
      </c>
      <c r="C20" s="20">
        <v>10</v>
      </c>
      <c r="D20" s="8">
        <v>3876871.72</v>
      </c>
      <c r="E20" s="8">
        <v>29201896.539999999</v>
      </c>
    </row>
    <row r="21" spans="1:5" x14ac:dyDescent="0.3">
      <c r="A21" s="7" t="s">
        <v>38</v>
      </c>
      <c r="B21" s="7" t="s">
        <v>122</v>
      </c>
      <c r="C21" s="20">
        <v>47</v>
      </c>
      <c r="D21" s="8">
        <v>3363857.27</v>
      </c>
      <c r="E21" s="8">
        <v>43730857.949999981</v>
      </c>
    </row>
    <row r="22" spans="1:5" x14ac:dyDescent="0.3">
      <c r="A22" s="7" t="s">
        <v>38</v>
      </c>
      <c r="B22" s="7" t="s">
        <v>123</v>
      </c>
      <c r="C22" s="20">
        <v>2</v>
      </c>
      <c r="D22" s="8">
        <v>3000000</v>
      </c>
      <c r="E22" s="8">
        <v>70000000</v>
      </c>
    </row>
    <row r="23" spans="1:5" x14ac:dyDescent="0.3">
      <c r="A23" s="7" t="s">
        <v>38</v>
      </c>
      <c r="B23" s="7" t="s">
        <v>124</v>
      </c>
      <c r="C23" s="20">
        <v>13</v>
      </c>
      <c r="D23" s="8">
        <v>1206013</v>
      </c>
      <c r="E23" s="8">
        <v>7407722.5300000003</v>
      </c>
    </row>
    <row r="24" spans="1:5" x14ac:dyDescent="0.3">
      <c r="A24" s="7" t="s">
        <v>38</v>
      </c>
      <c r="B24" s="7" t="s">
        <v>125</v>
      </c>
      <c r="C24" s="20">
        <v>62</v>
      </c>
      <c r="D24" s="8">
        <v>722513.96000000008</v>
      </c>
      <c r="E24" s="8">
        <v>34584524.5</v>
      </c>
    </row>
    <row r="25" spans="1:5" x14ac:dyDescent="0.3">
      <c r="A25" s="7" t="s">
        <v>38</v>
      </c>
      <c r="B25" s="7" t="s">
        <v>126</v>
      </c>
      <c r="C25" s="20">
        <v>2</v>
      </c>
      <c r="D25" s="8">
        <v>95322.75</v>
      </c>
      <c r="E25" s="8">
        <v>0</v>
      </c>
    </row>
    <row r="26" spans="1:5" x14ac:dyDescent="0.3">
      <c r="A26" s="7" t="s">
        <v>38</v>
      </c>
      <c r="B26" s="7" t="s">
        <v>127</v>
      </c>
      <c r="C26" s="20">
        <v>10</v>
      </c>
      <c r="D26" s="8">
        <v>71171.149999999994</v>
      </c>
      <c r="E26" s="8">
        <v>1745882.52</v>
      </c>
    </row>
    <row r="27" spans="1:5" x14ac:dyDescent="0.3">
      <c r="A27" s="7" t="s">
        <v>38</v>
      </c>
      <c r="B27" s="7" t="s">
        <v>128</v>
      </c>
      <c r="C27" s="20">
        <v>5</v>
      </c>
      <c r="D27" s="8">
        <v>20030.88</v>
      </c>
      <c r="E27" s="8">
        <v>76760.900000000009</v>
      </c>
    </row>
    <row r="28" spans="1:5" x14ac:dyDescent="0.3">
      <c r="A28" s="7" t="s">
        <v>38</v>
      </c>
      <c r="B28" s="7" t="s">
        <v>129</v>
      </c>
      <c r="C28" s="20">
        <v>37</v>
      </c>
      <c r="D28" s="8">
        <v>13737.76</v>
      </c>
      <c r="E28" s="8">
        <v>8910926.4000000022</v>
      </c>
    </row>
    <row r="29" spans="1:5" x14ac:dyDescent="0.3">
      <c r="A29" s="7" t="s">
        <v>38</v>
      </c>
      <c r="B29" s="7" t="s">
        <v>130</v>
      </c>
      <c r="C29" s="20">
        <v>15</v>
      </c>
      <c r="D29" s="8">
        <v>0</v>
      </c>
      <c r="E29" s="8">
        <v>41300000</v>
      </c>
    </row>
    <row r="30" spans="1:5" x14ac:dyDescent="0.3">
      <c r="A30" s="7" t="s">
        <v>38</v>
      </c>
      <c r="B30" s="7" t="s">
        <v>131</v>
      </c>
      <c r="C30" s="20">
        <v>4</v>
      </c>
      <c r="D30" s="8">
        <v>0</v>
      </c>
      <c r="E30" s="8">
        <v>5506403.7799999993</v>
      </c>
    </row>
    <row r="31" spans="1:5" x14ac:dyDescent="0.3">
      <c r="A31" s="7" t="s">
        <v>38</v>
      </c>
      <c r="B31" s="7" t="s">
        <v>132</v>
      </c>
      <c r="C31" s="20">
        <v>8</v>
      </c>
      <c r="D31" s="8">
        <v>0</v>
      </c>
      <c r="E31" s="8">
        <v>14135238.93</v>
      </c>
    </row>
    <row r="32" spans="1:5" x14ac:dyDescent="0.3">
      <c r="A32" s="7" t="s">
        <v>38</v>
      </c>
      <c r="B32" s="7" t="s">
        <v>133</v>
      </c>
      <c r="C32" s="20">
        <v>6</v>
      </c>
      <c r="D32" s="8">
        <v>0</v>
      </c>
      <c r="E32" s="8">
        <v>14890752.939999999</v>
      </c>
    </row>
    <row r="33" spans="1:5" x14ac:dyDescent="0.3">
      <c r="A33" s="7" t="s">
        <v>38</v>
      </c>
      <c r="B33" s="7" t="s">
        <v>134</v>
      </c>
      <c r="C33" s="20">
        <v>3</v>
      </c>
      <c r="D33" s="8">
        <v>0</v>
      </c>
      <c r="E33" s="8">
        <v>2816302.84</v>
      </c>
    </row>
    <row r="34" spans="1:5" x14ac:dyDescent="0.3">
      <c r="A34" s="7" t="s">
        <v>38</v>
      </c>
      <c r="B34" s="7" t="s">
        <v>135</v>
      </c>
      <c r="C34" s="20">
        <v>2</v>
      </c>
      <c r="D34" s="8">
        <v>0</v>
      </c>
      <c r="E34" s="8">
        <v>2158277.94</v>
      </c>
    </row>
    <row r="35" spans="1:5" x14ac:dyDescent="0.3">
      <c r="A35" s="7" t="s">
        <v>38</v>
      </c>
      <c r="B35" s="7" t="s">
        <v>136</v>
      </c>
      <c r="C35" s="20">
        <v>1</v>
      </c>
      <c r="D35" s="8">
        <v>0</v>
      </c>
      <c r="E35" s="8">
        <v>590000</v>
      </c>
    </row>
    <row r="36" spans="1:5" x14ac:dyDescent="0.3">
      <c r="A36" s="7" t="s">
        <v>38</v>
      </c>
      <c r="B36" s="7" t="s">
        <v>137</v>
      </c>
      <c r="C36" s="20">
        <v>1</v>
      </c>
      <c r="D36" s="8">
        <v>0</v>
      </c>
      <c r="E36" s="8">
        <v>120730.65</v>
      </c>
    </row>
    <row r="37" spans="1:5" x14ac:dyDescent="0.3">
      <c r="A37" s="7" t="s">
        <v>38</v>
      </c>
      <c r="B37" s="7" t="s">
        <v>138</v>
      </c>
      <c r="C37" s="20">
        <v>2</v>
      </c>
      <c r="D37" s="8">
        <v>0</v>
      </c>
      <c r="E37" s="8">
        <v>7771949.0199999996</v>
      </c>
    </row>
    <row r="38" spans="1:5" x14ac:dyDescent="0.3">
      <c r="A38" s="7" t="s">
        <v>40</v>
      </c>
      <c r="B38" s="7" t="s">
        <v>139</v>
      </c>
      <c r="C38" s="20">
        <v>1</v>
      </c>
      <c r="D38" s="8">
        <v>815844.94</v>
      </c>
      <c r="E38" s="8">
        <v>0</v>
      </c>
    </row>
    <row r="39" spans="1:5" x14ac:dyDescent="0.3">
      <c r="A39" s="7" t="s">
        <v>21</v>
      </c>
      <c r="B39" s="7" t="s">
        <v>140</v>
      </c>
      <c r="C39" s="20">
        <v>8</v>
      </c>
      <c r="D39" s="8">
        <v>9090.99</v>
      </c>
      <c r="E39" s="8">
        <v>0</v>
      </c>
    </row>
    <row r="40" spans="1:5" x14ac:dyDescent="0.3">
      <c r="A40" s="7" t="s">
        <v>14</v>
      </c>
      <c r="B40" s="7" t="s">
        <v>141</v>
      </c>
      <c r="C40" s="20">
        <v>20</v>
      </c>
      <c r="D40" s="8">
        <v>254212.33</v>
      </c>
      <c r="E40" s="8">
        <v>0</v>
      </c>
    </row>
    <row r="41" spans="1:5" x14ac:dyDescent="0.3">
      <c r="A41" s="7" t="s">
        <v>12</v>
      </c>
      <c r="B41" s="7" t="s">
        <v>142</v>
      </c>
      <c r="C41" s="20">
        <v>19</v>
      </c>
      <c r="D41" s="8">
        <v>2715543.42</v>
      </c>
      <c r="E41" s="8">
        <v>0</v>
      </c>
    </row>
    <row r="42" spans="1:5" ht="15" thickBot="1" x14ac:dyDescent="0.35">
      <c r="A42" s="7" t="s">
        <v>12</v>
      </c>
      <c r="B42" s="56" t="s">
        <v>143</v>
      </c>
      <c r="C42" s="57">
        <v>1</v>
      </c>
      <c r="D42" s="58">
        <v>47495.65</v>
      </c>
      <c r="E42" s="58">
        <v>0</v>
      </c>
    </row>
    <row r="43" spans="1:5" ht="15" thickBot="1" x14ac:dyDescent="0.35">
      <c r="B43" s="59" t="s">
        <v>59</v>
      </c>
      <c r="C43" s="60"/>
      <c r="D43" s="61">
        <f>SUM(D4:D42)</f>
        <v>444365730.86999989</v>
      </c>
      <c r="E43" s="62">
        <f>SUM(E4:E42)</f>
        <v>473030433.63999975</v>
      </c>
    </row>
    <row r="44" spans="1:5" x14ac:dyDescent="0.3">
      <c r="E44" s="55"/>
    </row>
    <row r="46" spans="1:5" x14ac:dyDescent="0.3">
      <c r="E46" s="5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1. Auditoría Banco</vt:lpstr>
      <vt:lpstr>2. Auditoría Sistema</vt:lpstr>
      <vt:lpstr>3. Detalle Impuestos</vt:lpstr>
      <vt:lpstr>4. Conciliación</vt:lpstr>
      <vt:lpstr>5. Conceptos Agrupados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2026-04-16T02:01:04Z</dcterms:created>
  <dcterms:modified xsi:type="dcterms:W3CDTF">2026-04-19T03:51:34Z</dcterms:modified>
</cp:coreProperties>
</file>